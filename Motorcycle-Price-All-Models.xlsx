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xr:revisionPtr revIDLastSave="0" documentId="13_ncr:1_{819A65C3-FC16-49A5-A0BB-3673DF9405D0}" xr6:coauthVersionLast="47" xr6:coauthVersionMax="47" xr10:uidLastSave="{00000000-0000-0000-0000-000000000000}"/>
  <bookViews>
    <workbookView xWindow="-120" yWindow="-120" windowWidth="20730" windowHeight="11040" xr2:uid="{2AA7A42A-5189-4EA1-AE67-FD5CC8988654}"/>
  </bookViews>
  <sheets>
    <sheet name="ราคารถทั้งหมด 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2" l="1"/>
  <c r="C18" i="2"/>
  <c r="C9" i="2"/>
  <c r="C11" i="2" s="1"/>
  <c r="N132" i="1"/>
  <c r="M132" i="1"/>
  <c r="K132" i="1"/>
  <c r="I132" i="1"/>
  <c r="H132" i="1"/>
  <c r="N131" i="1"/>
  <c r="M131" i="1"/>
  <c r="K131" i="1"/>
  <c r="I131" i="1"/>
  <c r="H131" i="1"/>
  <c r="N130" i="1"/>
  <c r="M130" i="1"/>
  <c r="K130" i="1"/>
  <c r="I130" i="1"/>
  <c r="H130" i="1"/>
  <c r="N129" i="1"/>
  <c r="M129" i="1"/>
  <c r="K129" i="1"/>
  <c r="I129" i="1"/>
  <c r="H129" i="1"/>
  <c r="N128" i="1"/>
  <c r="M128" i="1"/>
  <c r="K128" i="1"/>
  <c r="I128" i="1"/>
  <c r="H128" i="1"/>
  <c r="N127" i="1"/>
  <c r="M127" i="1"/>
  <c r="K127" i="1"/>
  <c r="I127" i="1"/>
  <c r="H127" i="1"/>
  <c r="N126" i="1"/>
  <c r="M126" i="1"/>
  <c r="K126" i="1"/>
  <c r="I126" i="1"/>
  <c r="H126" i="1"/>
  <c r="N125" i="1"/>
  <c r="M125" i="1"/>
  <c r="K125" i="1"/>
  <c r="I125" i="1"/>
  <c r="H125" i="1"/>
  <c r="N124" i="1"/>
  <c r="M124" i="1"/>
  <c r="K124" i="1"/>
  <c r="I124" i="1"/>
  <c r="H124" i="1"/>
  <c r="N123" i="1"/>
  <c r="M123" i="1"/>
  <c r="K123" i="1"/>
  <c r="I123" i="1"/>
  <c r="H123" i="1"/>
  <c r="N122" i="1"/>
  <c r="M122" i="1"/>
  <c r="K122" i="1"/>
  <c r="I122" i="1"/>
  <c r="H122" i="1"/>
  <c r="N121" i="1"/>
  <c r="M121" i="1"/>
  <c r="K121" i="1"/>
  <c r="I121" i="1"/>
  <c r="H121" i="1"/>
  <c r="N120" i="1"/>
  <c r="M120" i="1"/>
  <c r="K120" i="1"/>
  <c r="I120" i="1"/>
  <c r="H120" i="1"/>
  <c r="N119" i="1"/>
  <c r="M119" i="1"/>
  <c r="K119" i="1"/>
  <c r="I119" i="1"/>
  <c r="H119" i="1"/>
  <c r="N118" i="1"/>
  <c r="M118" i="1"/>
  <c r="K118" i="1"/>
  <c r="I118" i="1"/>
  <c r="H118" i="1"/>
  <c r="N117" i="1"/>
  <c r="M117" i="1"/>
  <c r="K117" i="1"/>
  <c r="I117" i="1"/>
  <c r="H117" i="1"/>
  <c r="F114" i="1"/>
  <c r="N114" i="1" s="1"/>
  <c r="F113" i="1"/>
  <c r="N113" i="1" s="1"/>
  <c r="F112" i="1"/>
  <c r="N112" i="1" s="1"/>
  <c r="N111" i="1"/>
  <c r="M111" i="1"/>
  <c r="L111" i="1"/>
  <c r="K111" i="1"/>
  <c r="J111" i="1"/>
  <c r="I111" i="1"/>
  <c r="H111" i="1"/>
  <c r="F110" i="1"/>
  <c r="M110" i="1" s="1"/>
  <c r="F109" i="1"/>
  <c r="M109" i="1" s="1"/>
  <c r="J108" i="1"/>
  <c r="F108" i="1"/>
  <c r="M108" i="1" s="1"/>
  <c r="N107" i="1"/>
  <c r="M107" i="1"/>
  <c r="L107" i="1"/>
  <c r="K107" i="1"/>
  <c r="J107" i="1"/>
  <c r="I107" i="1"/>
  <c r="H107" i="1"/>
  <c r="F106" i="1"/>
  <c r="L106" i="1" s="1"/>
  <c r="F105" i="1"/>
  <c r="L105" i="1" s="1"/>
  <c r="F104" i="1"/>
  <c r="L104" i="1" s="1"/>
  <c r="N103" i="1"/>
  <c r="M103" i="1"/>
  <c r="L103" i="1"/>
  <c r="K103" i="1"/>
  <c r="J103" i="1"/>
  <c r="I103" i="1"/>
  <c r="H103" i="1"/>
  <c r="F102" i="1"/>
  <c r="K102" i="1" s="1"/>
  <c r="F101" i="1"/>
  <c r="K101" i="1" s="1"/>
  <c r="F100" i="1"/>
  <c r="K100" i="1" s="1"/>
  <c r="N99" i="1"/>
  <c r="M99" i="1"/>
  <c r="L99" i="1"/>
  <c r="K99" i="1"/>
  <c r="J99" i="1"/>
  <c r="I99" i="1"/>
  <c r="H99" i="1"/>
  <c r="F98" i="1"/>
  <c r="N98" i="1" s="1"/>
  <c r="F97" i="1"/>
  <c r="N97" i="1" s="1"/>
  <c r="F96" i="1"/>
  <c r="N96" i="1" s="1"/>
  <c r="N95" i="1"/>
  <c r="M95" i="1"/>
  <c r="L95" i="1"/>
  <c r="K95" i="1"/>
  <c r="J95" i="1"/>
  <c r="I95" i="1"/>
  <c r="H95" i="1"/>
  <c r="F94" i="1"/>
  <c r="M94" i="1" s="1"/>
  <c r="F93" i="1"/>
  <c r="M93" i="1" s="1"/>
  <c r="F92" i="1"/>
  <c r="M92" i="1" s="1"/>
  <c r="N91" i="1"/>
  <c r="M91" i="1"/>
  <c r="L91" i="1"/>
  <c r="K91" i="1"/>
  <c r="J91" i="1"/>
  <c r="I91" i="1"/>
  <c r="H91" i="1"/>
  <c r="F90" i="1"/>
  <c r="L90" i="1" s="1"/>
  <c r="F89" i="1"/>
  <c r="L89" i="1" s="1"/>
  <c r="F88" i="1"/>
  <c r="L88" i="1" s="1"/>
  <c r="N87" i="1"/>
  <c r="M87" i="1"/>
  <c r="L87" i="1"/>
  <c r="K87" i="1"/>
  <c r="J87" i="1"/>
  <c r="I87" i="1"/>
  <c r="H87" i="1"/>
  <c r="F86" i="1"/>
  <c r="K86" i="1" s="1"/>
  <c r="F85" i="1"/>
  <c r="K85" i="1" s="1"/>
  <c r="F84" i="1"/>
  <c r="K84" i="1" s="1"/>
  <c r="N83" i="1"/>
  <c r="M83" i="1"/>
  <c r="L83" i="1"/>
  <c r="K83" i="1"/>
  <c r="J83" i="1"/>
  <c r="I83" i="1"/>
  <c r="H83" i="1"/>
  <c r="F82" i="1"/>
  <c r="N82" i="1" s="1"/>
  <c r="F81" i="1"/>
  <c r="N81" i="1" s="1"/>
  <c r="F80" i="1"/>
  <c r="N80" i="1" s="1"/>
  <c r="N79" i="1"/>
  <c r="M79" i="1"/>
  <c r="L79" i="1"/>
  <c r="K79" i="1"/>
  <c r="J79" i="1"/>
  <c r="I79" i="1"/>
  <c r="H79" i="1"/>
  <c r="F78" i="1"/>
  <c r="N78" i="1" s="1"/>
  <c r="F77" i="1"/>
  <c r="N77" i="1" s="1"/>
  <c r="F76" i="1"/>
  <c r="N76" i="1" s="1"/>
  <c r="N75" i="1"/>
  <c r="M75" i="1"/>
  <c r="L75" i="1"/>
  <c r="K75" i="1"/>
  <c r="J75" i="1"/>
  <c r="I75" i="1"/>
  <c r="H75" i="1"/>
  <c r="F74" i="1"/>
  <c r="K74" i="1" s="1"/>
  <c r="F73" i="1"/>
  <c r="K73" i="1" s="1"/>
  <c r="F72" i="1"/>
  <c r="K72" i="1" s="1"/>
  <c r="N71" i="1"/>
  <c r="M71" i="1"/>
  <c r="L71" i="1"/>
  <c r="K71" i="1"/>
  <c r="J71" i="1"/>
  <c r="I71" i="1"/>
  <c r="H71" i="1"/>
  <c r="F70" i="1"/>
  <c r="K70" i="1" s="1"/>
  <c r="F69" i="1"/>
  <c r="K69" i="1" s="1"/>
  <c r="F68" i="1"/>
  <c r="K68" i="1" s="1"/>
  <c r="N67" i="1"/>
  <c r="M67" i="1"/>
  <c r="L67" i="1"/>
  <c r="K67" i="1"/>
  <c r="J67" i="1"/>
  <c r="I67" i="1"/>
  <c r="H67" i="1"/>
  <c r="F66" i="1"/>
  <c r="K66" i="1" s="1"/>
  <c r="F65" i="1"/>
  <c r="K65" i="1" s="1"/>
  <c r="F64" i="1"/>
  <c r="K64" i="1" s="1"/>
  <c r="N63" i="1"/>
  <c r="M63" i="1"/>
  <c r="L63" i="1"/>
  <c r="K63" i="1"/>
  <c r="J63" i="1"/>
  <c r="I63" i="1"/>
  <c r="H63" i="1"/>
  <c r="F62" i="1"/>
  <c r="M62" i="1" s="1"/>
  <c r="F61" i="1"/>
  <c r="M61" i="1" s="1"/>
  <c r="F60" i="1"/>
  <c r="M60" i="1" s="1"/>
  <c r="N59" i="1"/>
  <c r="M59" i="1"/>
  <c r="L59" i="1"/>
  <c r="K59" i="1"/>
  <c r="J59" i="1"/>
  <c r="I59" i="1"/>
  <c r="H59" i="1"/>
  <c r="F58" i="1"/>
  <c r="K58" i="1" s="1"/>
  <c r="F57" i="1"/>
  <c r="K57" i="1" s="1"/>
  <c r="F56" i="1"/>
  <c r="K56" i="1" s="1"/>
  <c r="N55" i="1"/>
  <c r="M55" i="1"/>
  <c r="L55" i="1"/>
  <c r="K55" i="1"/>
  <c r="J55" i="1"/>
  <c r="I55" i="1"/>
  <c r="H55" i="1"/>
  <c r="F54" i="1"/>
  <c r="M54" i="1" s="1"/>
  <c r="F53" i="1"/>
  <c r="F52" i="1"/>
  <c r="N51" i="1"/>
  <c r="M51" i="1"/>
  <c r="L51" i="1"/>
  <c r="K51" i="1"/>
  <c r="J51" i="1"/>
  <c r="I51" i="1"/>
  <c r="H51" i="1"/>
  <c r="F50" i="1"/>
  <c r="K50" i="1" s="1"/>
  <c r="F49" i="1"/>
  <c r="K49" i="1" s="1"/>
  <c r="F48" i="1"/>
  <c r="K48" i="1" s="1"/>
  <c r="N47" i="1"/>
  <c r="M47" i="1"/>
  <c r="L47" i="1"/>
  <c r="K47" i="1"/>
  <c r="J47" i="1"/>
  <c r="I47" i="1"/>
  <c r="H47" i="1"/>
  <c r="F46" i="1"/>
  <c r="M46" i="1" s="1"/>
  <c r="F45" i="1"/>
  <c r="M45" i="1" s="1"/>
  <c r="F44" i="1"/>
  <c r="M44" i="1" s="1"/>
  <c r="N43" i="1"/>
  <c r="M43" i="1"/>
  <c r="L43" i="1"/>
  <c r="K43" i="1"/>
  <c r="J43" i="1"/>
  <c r="I43" i="1"/>
  <c r="H43" i="1"/>
  <c r="N42" i="1"/>
  <c r="M42" i="1"/>
  <c r="L42" i="1"/>
  <c r="K42" i="1"/>
  <c r="J42" i="1"/>
  <c r="I42" i="1"/>
  <c r="H42" i="1"/>
  <c r="F41" i="1"/>
  <c r="K41" i="1" s="1"/>
  <c r="F40" i="1"/>
  <c r="I40" i="1" s="1"/>
  <c r="N39" i="1"/>
  <c r="M39" i="1"/>
  <c r="L39" i="1"/>
  <c r="K39" i="1"/>
  <c r="J39" i="1"/>
  <c r="I39" i="1"/>
  <c r="H39" i="1"/>
  <c r="F38" i="1"/>
  <c r="K38" i="1" s="1"/>
  <c r="F37" i="1"/>
  <c r="K37" i="1" s="1"/>
  <c r="F36" i="1"/>
  <c r="K36" i="1" s="1"/>
  <c r="N35" i="1"/>
  <c r="M35" i="1"/>
  <c r="L35" i="1"/>
  <c r="K35" i="1"/>
  <c r="J35" i="1"/>
  <c r="I35" i="1"/>
  <c r="H35" i="1"/>
  <c r="F34" i="1"/>
  <c r="F33" i="1"/>
  <c r="F32" i="1"/>
  <c r="M32" i="1" s="1"/>
  <c r="N31" i="1"/>
  <c r="M31" i="1"/>
  <c r="L31" i="1"/>
  <c r="K31" i="1"/>
  <c r="J31" i="1"/>
  <c r="I31" i="1"/>
  <c r="H31" i="1"/>
  <c r="F30" i="1"/>
  <c r="K30" i="1" s="1"/>
  <c r="F29" i="1"/>
  <c r="K29" i="1" s="1"/>
  <c r="F28" i="1"/>
  <c r="K28" i="1" s="1"/>
  <c r="N27" i="1"/>
  <c r="M27" i="1"/>
  <c r="L27" i="1"/>
  <c r="K27" i="1"/>
  <c r="J27" i="1"/>
  <c r="I27" i="1"/>
  <c r="H27" i="1"/>
  <c r="F26" i="1"/>
  <c r="K26" i="1" s="1"/>
  <c r="F25" i="1"/>
  <c r="I25" i="1" s="1"/>
  <c r="F24" i="1"/>
  <c r="K24" i="1" s="1"/>
  <c r="N23" i="1"/>
  <c r="M23" i="1"/>
  <c r="L23" i="1"/>
  <c r="K23" i="1"/>
  <c r="J23" i="1"/>
  <c r="I23" i="1"/>
  <c r="H23" i="1"/>
  <c r="F22" i="1"/>
  <c r="N22" i="1" s="1"/>
  <c r="F21" i="1"/>
  <c r="F20" i="1"/>
  <c r="J20" i="1" s="1"/>
  <c r="N19" i="1"/>
  <c r="M19" i="1"/>
  <c r="L19" i="1"/>
  <c r="K19" i="1"/>
  <c r="J19" i="1"/>
  <c r="I19" i="1"/>
  <c r="H19" i="1"/>
  <c r="F18" i="1"/>
  <c r="N18" i="1" s="1"/>
  <c r="F17" i="1"/>
  <c r="K17" i="1" s="1"/>
  <c r="F16" i="1"/>
  <c r="K16" i="1" s="1"/>
  <c r="N15" i="1"/>
  <c r="M15" i="1"/>
  <c r="L15" i="1"/>
  <c r="K15" i="1"/>
  <c r="J15" i="1"/>
  <c r="I15" i="1"/>
  <c r="H15" i="1"/>
  <c r="F14" i="1"/>
  <c r="K14" i="1" s="1"/>
  <c r="F13" i="1"/>
  <c r="K13" i="1" s="1"/>
  <c r="F12" i="1"/>
  <c r="K12" i="1" s="1"/>
  <c r="N11" i="1"/>
  <c r="M11" i="1"/>
  <c r="L11" i="1"/>
  <c r="K11" i="1"/>
  <c r="J11" i="1"/>
  <c r="I11" i="1"/>
  <c r="H11" i="1"/>
  <c r="F10" i="1"/>
  <c r="I10" i="1" s="1"/>
  <c r="F9" i="1"/>
  <c r="K9" i="1" s="1"/>
  <c r="F8" i="1"/>
  <c r="M8" i="1" s="1"/>
  <c r="N7" i="1"/>
  <c r="M7" i="1"/>
  <c r="L7" i="1"/>
  <c r="K7" i="1"/>
  <c r="J7" i="1"/>
  <c r="I7" i="1"/>
  <c r="H7" i="1"/>
  <c r="F6" i="1"/>
  <c r="H6" i="1" s="1"/>
  <c r="F5" i="1"/>
  <c r="H5" i="1" s="1"/>
  <c r="F4" i="1"/>
  <c r="H4" i="1" s="1"/>
  <c r="N3" i="1"/>
  <c r="M3" i="1"/>
  <c r="L3" i="1"/>
  <c r="K3" i="1"/>
  <c r="J3" i="1"/>
  <c r="I3" i="1"/>
  <c r="H3" i="1"/>
  <c r="H26" i="1" l="1"/>
  <c r="M68" i="1"/>
  <c r="K22" i="1"/>
  <c r="I46" i="1"/>
  <c r="J65" i="1"/>
  <c r="H84" i="1"/>
  <c r="I57" i="1"/>
  <c r="L64" i="1"/>
  <c r="J66" i="1"/>
  <c r="N85" i="1"/>
  <c r="I100" i="1"/>
  <c r="H20" i="1"/>
  <c r="I104" i="1"/>
  <c r="K25" i="1"/>
  <c r="H10" i="1"/>
  <c r="K40" i="1"/>
  <c r="I45" i="1"/>
  <c r="H49" i="1"/>
  <c r="J84" i="1"/>
  <c r="J86" i="1"/>
  <c r="H14" i="1"/>
  <c r="M41" i="1"/>
  <c r="I44" i="1"/>
  <c r="H102" i="1"/>
  <c r="J106" i="1"/>
  <c r="H8" i="1"/>
  <c r="I12" i="1"/>
  <c r="M14" i="1"/>
  <c r="J28" i="1"/>
  <c r="H30" i="1"/>
  <c r="H36" i="1"/>
  <c r="J37" i="1"/>
  <c r="L49" i="1"/>
  <c r="N84" i="1"/>
  <c r="I89" i="1"/>
  <c r="L100" i="1"/>
  <c r="L102" i="1"/>
  <c r="J105" i="1"/>
  <c r="M106" i="1"/>
  <c r="N109" i="1"/>
  <c r="J30" i="1"/>
  <c r="J36" i="1"/>
  <c r="H22" i="1"/>
  <c r="N29" i="1"/>
  <c r="L36" i="1"/>
  <c r="H38" i="1"/>
  <c r="I68" i="1"/>
  <c r="I72" i="1"/>
  <c r="I84" i="1"/>
  <c r="I85" i="1"/>
  <c r="M88" i="1"/>
  <c r="H100" i="1"/>
  <c r="M104" i="1"/>
  <c r="I106" i="1"/>
  <c r="N108" i="1"/>
  <c r="M24" i="1"/>
  <c r="M57" i="1"/>
  <c r="L8" i="1"/>
  <c r="H12" i="1"/>
  <c r="N12" i="1"/>
  <c r="J14" i="1"/>
  <c r="K20" i="1"/>
  <c r="J22" i="1"/>
  <c r="H28" i="1"/>
  <c r="I29" i="1"/>
  <c r="I30" i="1"/>
  <c r="L38" i="1"/>
  <c r="J50" i="1"/>
  <c r="H57" i="1"/>
  <c r="N57" i="1"/>
  <c r="N58" i="1"/>
  <c r="H66" i="1"/>
  <c r="H72" i="1"/>
  <c r="N72" i="1"/>
  <c r="N73" i="1"/>
  <c r="H92" i="1"/>
  <c r="L94" i="1"/>
  <c r="H101" i="1"/>
  <c r="M102" i="1"/>
  <c r="N104" i="1"/>
  <c r="M105" i="1"/>
  <c r="J92" i="1"/>
  <c r="I101" i="1"/>
  <c r="N105" i="1"/>
  <c r="J110" i="1"/>
  <c r="J12" i="1"/>
  <c r="J16" i="1"/>
  <c r="J18" i="1"/>
  <c r="H24" i="1"/>
  <c r="M28" i="1"/>
  <c r="M30" i="1"/>
  <c r="J57" i="1"/>
  <c r="I58" i="1"/>
  <c r="L65" i="1"/>
  <c r="L66" i="1"/>
  <c r="M69" i="1"/>
  <c r="J72" i="1"/>
  <c r="I73" i="1"/>
  <c r="J74" i="1"/>
  <c r="M84" i="1"/>
  <c r="J85" i="1"/>
  <c r="I88" i="1"/>
  <c r="M89" i="1"/>
  <c r="M100" i="1"/>
  <c r="L101" i="1"/>
  <c r="I102" i="1"/>
  <c r="J104" i="1"/>
  <c r="I105" i="1"/>
  <c r="N106" i="1"/>
  <c r="J109" i="1"/>
  <c r="N110" i="1"/>
  <c r="M12" i="1"/>
  <c r="J58" i="1"/>
  <c r="M72" i="1"/>
  <c r="J73" i="1"/>
  <c r="M101" i="1"/>
  <c r="C14" i="2"/>
  <c r="C15" i="2"/>
  <c r="C16" i="2" s="1"/>
  <c r="K112" i="1"/>
  <c r="K113" i="1"/>
  <c r="K114" i="1"/>
  <c r="K109" i="1"/>
  <c r="H112" i="1"/>
  <c r="L112" i="1"/>
  <c r="H113" i="1"/>
  <c r="L113" i="1"/>
  <c r="L114" i="1"/>
  <c r="J100" i="1"/>
  <c r="N100" i="1"/>
  <c r="J101" i="1"/>
  <c r="N101" i="1"/>
  <c r="J102" i="1"/>
  <c r="N102" i="1"/>
  <c r="K104" i="1"/>
  <c r="K105" i="1"/>
  <c r="K106" i="1"/>
  <c r="H108" i="1"/>
  <c r="L108" i="1"/>
  <c r="H109" i="1"/>
  <c r="L109" i="1"/>
  <c r="H110" i="1"/>
  <c r="L110" i="1"/>
  <c r="I112" i="1"/>
  <c r="M112" i="1"/>
  <c r="I113" i="1"/>
  <c r="M113" i="1"/>
  <c r="I114" i="1"/>
  <c r="M114" i="1"/>
  <c r="K108" i="1"/>
  <c r="K110" i="1"/>
  <c r="H114" i="1"/>
  <c r="H104" i="1"/>
  <c r="H105" i="1"/>
  <c r="H106" i="1"/>
  <c r="I108" i="1"/>
  <c r="I109" i="1"/>
  <c r="I110" i="1"/>
  <c r="J112" i="1"/>
  <c r="J113" i="1"/>
  <c r="J114" i="1"/>
  <c r="N48" i="1"/>
  <c r="N93" i="1"/>
  <c r="H9" i="1"/>
  <c r="L10" i="1"/>
  <c r="L12" i="1"/>
  <c r="H13" i="1"/>
  <c r="M13" i="1"/>
  <c r="I14" i="1"/>
  <c r="N14" i="1"/>
  <c r="I17" i="1"/>
  <c r="K18" i="1"/>
  <c r="N20" i="1"/>
  <c r="I28" i="1"/>
  <c r="N28" i="1"/>
  <c r="J29" i="1"/>
  <c r="L30" i="1"/>
  <c r="N36" i="1"/>
  <c r="L37" i="1"/>
  <c r="J38" i="1"/>
  <c r="M40" i="1"/>
  <c r="H48" i="1"/>
  <c r="N49" i="1"/>
  <c r="L50" i="1"/>
  <c r="H56" i="1"/>
  <c r="M56" i="1"/>
  <c r="I60" i="1"/>
  <c r="I62" i="1"/>
  <c r="N64" i="1"/>
  <c r="L74" i="1"/>
  <c r="L86" i="1"/>
  <c r="H93" i="1"/>
  <c r="N94" i="1"/>
  <c r="L13" i="1"/>
  <c r="L56" i="1"/>
  <c r="L9" i="1"/>
  <c r="I13" i="1"/>
  <c r="N13" i="1"/>
  <c r="N17" i="1"/>
  <c r="L29" i="1"/>
  <c r="N37" i="1"/>
  <c r="J48" i="1"/>
  <c r="N50" i="1"/>
  <c r="I56" i="1"/>
  <c r="N56" i="1"/>
  <c r="L58" i="1"/>
  <c r="H64" i="1"/>
  <c r="N65" i="1"/>
  <c r="I70" i="1"/>
  <c r="L73" i="1"/>
  <c r="H74" i="1"/>
  <c r="M74" i="1"/>
  <c r="L85" i="1"/>
  <c r="H86" i="1"/>
  <c r="M86" i="1"/>
  <c r="I90" i="1"/>
  <c r="L92" i="1"/>
  <c r="J93" i="1"/>
  <c r="H94" i="1"/>
  <c r="J13" i="1"/>
  <c r="L14" i="1"/>
  <c r="M26" i="1"/>
  <c r="L28" i="1"/>
  <c r="H29" i="1"/>
  <c r="M29" i="1"/>
  <c r="N30" i="1"/>
  <c r="H37" i="1"/>
  <c r="N38" i="1"/>
  <c r="L48" i="1"/>
  <c r="J49" i="1"/>
  <c r="H50" i="1"/>
  <c r="J56" i="1"/>
  <c r="L57" i="1"/>
  <c r="H58" i="1"/>
  <c r="M58" i="1"/>
  <c r="I61" i="1"/>
  <c r="J64" i="1"/>
  <c r="H65" i="1"/>
  <c r="N66" i="1"/>
  <c r="I69" i="1"/>
  <c r="M70" i="1"/>
  <c r="L72" i="1"/>
  <c r="H73" i="1"/>
  <c r="M73" i="1"/>
  <c r="I74" i="1"/>
  <c r="N74" i="1"/>
  <c r="L84" i="1"/>
  <c r="H85" i="1"/>
  <c r="M85" i="1"/>
  <c r="I86" i="1"/>
  <c r="N86" i="1"/>
  <c r="M90" i="1"/>
  <c r="N92" i="1"/>
  <c r="L93" i="1"/>
  <c r="J94" i="1"/>
  <c r="K80" i="1"/>
  <c r="K81" i="1"/>
  <c r="K82" i="1"/>
  <c r="K96" i="1"/>
  <c r="K97" i="1"/>
  <c r="K98" i="1"/>
  <c r="H80" i="1"/>
  <c r="L80" i="1"/>
  <c r="H81" i="1"/>
  <c r="L81" i="1"/>
  <c r="H82" i="1"/>
  <c r="L82" i="1"/>
  <c r="J88" i="1"/>
  <c r="N88" i="1"/>
  <c r="J89" i="1"/>
  <c r="N89" i="1"/>
  <c r="J90" i="1"/>
  <c r="N90" i="1"/>
  <c r="K92" i="1"/>
  <c r="K93" i="1"/>
  <c r="K94" i="1"/>
  <c r="H96" i="1"/>
  <c r="L96" i="1"/>
  <c r="H97" i="1"/>
  <c r="L97" i="1"/>
  <c r="H98" i="1"/>
  <c r="L98" i="1"/>
  <c r="I80" i="1"/>
  <c r="M81" i="1"/>
  <c r="I82" i="1"/>
  <c r="M82" i="1"/>
  <c r="K88" i="1"/>
  <c r="K89" i="1"/>
  <c r="I96" i="1"/>
  <c r="M96" i="1"/>
  <c r="I97" i="1"/>
  <c r="M97" i="1"/>
  <c r="I98" i="1"/>
  <c r="M98" i="1"/>
  <c r="M80" i="1"/>
  <c r="I81" i="1"/>
  <c r="K90" i="1"/>
  <c r="J80" i="1"/>
  <c r="J81" i="1"/>
  <c r="J82" i="1"/>
  <c r="H88" i="1"/>
  <c r="H89" i="1"/>
  <c r="H90" i="1"/>
  <c r="I92" i="1"/>
  <c r="I93" i="1"/>
  <c r="I94" i="1"/>
  <c r="J96" i="1"/>
  <c r="J97" i="1"/>
  <c r="J98" i="1"/>
  <c r="K5" i="1"/>
  <c r="K6" i="1"/>
  <c r="M21" i="1"/>
  <c r="I21" i="1"/>
  <c r="N33" i="1"/>
  <c r="J33" i="1"/>
  <c r="L33" i="1"/>
  <c r="H33" i="1"/>
  <c r="N34" i="1"/>
  <c r="J34" i="1"/>
  <c r="L34" i="1"/>
  <c r="H34" i="1"/>
  <c r="L52" i="1"/>
  <c r="H52" i="1"/>
  <c r="N52" i="1"/>
  <c r="J52" i="1"/>
  <c r="L53" i="1"/>
  <c r="H53" i="1"/>
  <c r="N53" i="1"/>
  <c r="J53" i="1"/>
  <c r="L4" i="1"/>
  <c r="L5" i="1"/>
  <c r="L6" i="1"/>
  <c r="I8" i="1"/>
  <c r="I9" i="1"/>
  <c r="M9" i="1"/>
  <c r="M10" i="1"/>
  <c r="L16" i="1"/>
  <c r="H16" i="1"/>
  <c r="M16" i="1"/>
  <c r="J17" i="1"/>
  <c r="N25" i="1"/>
  <c r="J25" i="1"/>
  <c r="I26" i="1"/>
  <c r="I33" i="1"/>
  <c r="L41" i="1"/>
  <c r="H41" i="1"/>
  <c r="N41" i="1"/>
  <c r="J41" i="1"/>
  <c r="K44" i="1"/>
  <c r="K45" i="1"/>
  <c r="K46" i="1"/>
  <c r="I52" i="1"/>
  <c r="I4" i="1"/>
  <c r="M4" i="1"/>
  <c r="I5" i="1"/>
  <c r="M5" i="1"/>
  <c r="I6" i="1"/>
  <c r="M6" i="1"/>
  <c r="J8" i="1"/>
  <c r="N8" i="1"/>
  <c r="J9" i="1"/>
  <c r="N9" i="1"/>
  <c r="J10" i="1"/>
  <c r="N10" i="1"/>
  <c r="I16" i="1"/>
  <c r="N16" i="1"/>
  <c r="I18" i="1"/>
  <c r="M20" i="1"/>
  <c r="I20" i="1"/>
  <c r="L20" i="1"/>
  <c r="J21" i="1"/>
  <c r="M22" i="1"/>
  <c r="I22" i="1"/>
  <c r="L22" i="1"/>
  <c r="H25" i="1"/>
  <c r="M25" i="1"/>
  <c r="K32" i="1"/>
  <c r="K33" i="1"/>
  <c r="K34" i="1"/>
  <c r="I41" i="1"/>
  <c r="K52" i="1"/>
  <c r="K53" i="1"/>
  <c r="K54" i="1"/>
  <c r="K4" i="1"/>
  <c r="J4" i="1"/>
  <c r="N4" i="1"/>
  <c r="J5" i="1"/>
  <c r="N5" i="1"/>
  <c r="J6" i="1"/>
  <c r="N6" i="1"/>
  <c r="K8" i="1"/>
  <c r="K10" i="1"/>
  <c r="L17" i="1"/>
  <c r="H17" i="1"/>
  <c r="M17" i="1"/>
  <c r="K21" i="1"/>
  <c r="N24" i="1"/>
  <c r="J24" i="1"/>
  <c r="L24" i="1"/>
  <c r="N26" i="1"/>
  <c r="J26" i="1"/>
  <c r="L26" i="1"/>
  <c r="M33" i="1"/>
  <c r="M34" i="1"/>
  <c r="N44" i="1"/>
  <c r="J44" i="1"/>
  <c r="L44" i="1"/>
  <c r="H44" i="1"/>
  <c r="N45" i="1"/>
  <c r="J45" i="1"/>
  <c r="L45" i="1"/>
  <c r="H45" i="1"/>
  <c r="N46" i="1"/>
  <c r="J46" i="1"/>
  <c r="L46" i="1"/>
  <c r="H46" i="1"/>
  <c r="M52" i="1"/>
  <c r="M53" i="1"/>
  <c r="N60" i="1"/>
  <c r="J60" i="1"/>
  <c r="L60" i="1"/>
  <c r="H60" i="1"/>
  <c r="N61" i="1"/>
  <c r="J61" i="1"/>
  <c r="L61" i="1"/>
  <c r="H61" i="1"/>
  <c r="N62" i="1"/>
  <c r="J62" i="1"/>
  <c r="L62" i="1"/>
  <c r="H62" i="1"/>
  <c r="L68" i="1"/>
  <c r="H68" i="1"/>
  <c r="N68" i="1"/>
  <c r="J68" i="1"/>
  <c r="L69" i="1"/>
  <c r="H69" i="1"/>
  <c r="N69" i="1"/>
  <c r="J69" i="1"/>
  <c r="L70" i="1"/>
  <c r="H70" i="1"/>
  <c r="N70" i="1"/>
  <c r="J70" i="1"/>
  <c r="L21" i="1"/>
  <c r="N32" i="1"/>
  <c r="J32" i="1"/>
  <c r="L32" i="1"/>
  <c r="H32" i="1"/>
  <c r="L54" i="1"/>
  <c r="H54" i="1"/>
  <c r="N54" i="1"/>
  <c r="J54" i="1"/>
  <c r="L18" i="1"/>
  <c r="H18" i="1"/>
  <c r="M18" i="1"/>
  <c r="H21" i="1"/>
  <c r="N21" i="1"/>
  <c r="I24" i="1"/>
  <c r="L25" i="1"/>
  <c r="I32" i="1"/>
  <c r="I34" i="1"/>
  <c r="L40" i="1"/>
  <c r="H40" i="1"/>
  <c r="N40" i="1"/>
  <c r="J40" i="1"/>
  <c r="I53" i="1"/>
  <c r="I54" i="1"/>
  <c r="K60" i="1"/>
  <c r="K61" i="1"/>
  <c r="K62" i="1"/>
  <c r="K76" i="1"/>
  <c r="K77" i="1"/>
  <c r="K78" i="1"/>
  <c r="I36" i="1"/>
  <c r="M36" i="1"/>
  <c r="I37" i="1"/>
  <c r="M37" i="1"/>
  <c r="I38" i="1"/>
  <c r="M38" i="1"/>
  <c r="I48" i="1"/>
  <c r="M48" i="1"/>
  <c r="I49" i="1"/>
  <c r="M49" i="1"/>
  <c r="I50" i="1"/>
  <c r="M50" i="1"/>
  <c r="I64" i="1"/>
  <c r="M64" i="1"/>
  <c r="I65" i="1"/>
  <c r="M65" i="1"/>
  <c r="I66" i="1"/>
  <c r="M66" i="1"/>
  <c r="H76" i="1"/>
  <c r="L76" i="1"/>
  <c r="H77" i="1"/>
  <c r="L77" i="1"/>
  <c r="H78" i="1"/>
  <c r="L78" i="1"/>
  <c r="I76" i="1"/>
  <c r="M76" i="1"/>
  <c r="I77" i="1"/>
  <c r="M77" i="1"/>
  <c r="I78" i="1"/>
  <c r="M78" i="1"/>
  <c r="J76" i="1"/>
  <c r="J77" i="1"/>
  <c r="J78" i="1"/>
</calcChain>
</file>

<file path=xl/sharedStrings.xml><?xml version="1.0" encoding="utf-8"?>
<sst xmlns="http://schemas.openxmlformats.org/spreadsheetml/2006/main" count="123" uniqueCount="111">
  <si>
    <t>รุ่นรถ</t>
  </si>
  <si>
    <t>รหัสรถ</t>
  </si>
  <si>
    <t>ราคาจัด</t>
  </si>
  <si>
    <t>ดอกเบี้ย
(ต่อเดือน)</t>
  </si>
  <si>
    <t>%ดาวน์</t>
  </si>
  <si>
    <t>ดาวน์</t>
  </si>
  <si>
    <t>ค่าจด/พรบ.</t>
  </si>
  <si>
    <t>รวมออกรถ</t>
  </si>
  <si>
    <t>ตารางผ่อน</t>
  </si>
  <si>
    <t>12</t>
  </si>
  <si>
    <t>18</t>
  </si>
  <si>
    <t>24</t>
  </si>
  <si>
    <t>30</t>
  </si>
  <si>
    <t>36</t>
  </si>
  <si>
    <t>48</t>
  </si>
  <si>
    <t>ฟาซซิโอ้ SMK</t>
  </si>
  <si>
    <t>BKF700</t>
  </si>
  <si>
    <t>ฟาซซิโอ้ Lite</t>
  </si>
  <si>
    <t>BKFB00</t>
  </si>
  <si>
    <t>BKFD00</t>
  </si>
  <si>
    <t>ฟาซซิโอ้ Edi+SMK</t>
  </si>
  <si>
    <t>BKFE00</t>
  </si>
  <si>
    <t>ฟาซซิโอ้ Lite Ver</t>
  </si>
  <si>
    <t>BKFF00</t>
  </si>
  <si>
    <t>แกรนด์ฟีลาโน่</t>
  </si>
  <si>
    <t>BJK600</t>
  </si>
  <si>
    <t>BJKA00</t>
  </si>
  <si>
    <t>แกรนด์ฟีลาโน่2026 2026</t>
  </si>
  <si>
    <t>BJKC00</t>
  </si>
  <si>
    <t>แกรนด์ฟีลาโน่ 2026</t>
  </si>
  <si>
    <t>BJKD00</t>
  </si>
  <si>
    <t>แกรนด์ฟีลาโน่  Edi+SMK</t>
  </si>
  <si>
    <t>BJKE00</t>
  </si>
  <si>
    <t>เอ็นแม็ก 2025</t>
  </si>
  <si>
    <t>BTF100</t>
  </si>
  <si>
    <t>เอ็นแม็ก เท็กแม็ก 2026</t>
  </si>
  <si>
    <t>BTM200</t>
  </si>
  <si>
    <t>เอ็นแม็ก  2026</t>
  </si>
  <si>
    <t>BTF200</t>
  </si>
  <si>
    <t>เอ็นแม็ก 2026 25TH</t>
  </si>
  <si>
    <t>BTF300</t>
  </si>
  <si>
    <t>เอ็กซ์แม็กซ์  STD 2026</t>
  </si>
  <si>
    <t>DR9200</t>
  </si>
  <si>
    <t>เอ็กซ์แม็กซ์  TECH Max 2026</t>
  </si>
  <si>
    <t>BKAW00</t>
  </si>
  <si>
    <t>Aerox 155   2026</t>
  </si>
  <si>
    <t>BWR100</t>
  </si>
  <si>
    <t>Aerox 155  SP 2026</t>
  </si>
  <si>
    <t>D13100</t>
  </si>
  <si>
    <t>ฟาซซิโอ้UBS/ครอปไฟเลี้ยวหน้า-หลั</t>
  </si>
  <si>
    <t>ฟินน์/ล้อแม็ก/UBS/2024</t>
  </si>
  <si>
    <t>DT0400</t>
  </si>
  <si>
    <t>ฟินน์ 2026  SMART KEY</t>
  </si>
  <si>
    <t>DA6100</t>
  </si>
  <si>
    <t>ฟินน์ 2026 STD</t>
  </si>
  <si>
    <t>DA6200</t>
  </si>
  <si>
    <t>ฟินน์ 2026 ซี่ลวด</t>
  </si>
  <si>
    <t>DA6300</t>
  </si>
  <si>
    <t>เอ็กซ์ไซเตอร์</t>
  </si>
  <si>
    <t>BWK300</t>
  </si>
  <si>
    <t xml:space="preserve">WR155R </t>
  </si>
  <si>
    <t xml:space="preserve">B3MA00 </t>
  </si>
  <si>
    <t>PG-1/2026/ ABS</t>
  </si>
  <si>
    <t>D18100</t>
  </si>
  <si>
    <t>PG-1Special Edition</t>
  </si>
  <si>
    <t>D18300</t>
  </si>
  <si>
    <t>R15สตาร์ทมือ/ดิสก์เบรก/ล้อแม็ก</t>
  </si>
  <si>
    <t>BNCC00</t>
  </si>
  <si>
    <t>รหัสรถ/สี</t>
  </si>
  <si>
    <t>เงินดาวน์</t>
  </si>
  <si>
    <t>12 งวด</t>
  </si>
  <si>
    <t>24 งวด</t>
  </si>
  <si>
    <t>36 งวด</t>
  </si>
  <si>
    <t>48 งวด</t>
  </si>
  <si>
    <t>Wave 125 กุญแจธรรมดา /2026  1 คัน ดำ</t>
  </si>
  <si>
    <t>AFS125CSBT TH</t>
  </si>
  <si>
    <t>Wave 110 แม็ก-มือ(  2 คัน แดง/   เทา-นต)</t>
  </si>
  <si>
    <t>AFS110MCBT TH</t>
  </si>
  <si>
    <t xml:space="preserve">GIORNO+ CBS  2 คัน ขาว-ดำ    เทา-น้ำตาล </t>
  </si>
  <si>
    <t>ACF125CBT</t>
  </si>
  <si>
    <t>Wave 110 แม็ก-มือ Limited (  1 คัน ขาว)</t>
  </si>
  <si>
    <t>AFS110MCBT 3TH</t>
  </si>
  <si>
    <t>ตารางคำนวณค่างวดรถมอเตอร์ไซค์ (Flat Rate Calculator)</t>
  </si>
  <si>
    <t>สูตรคำนวณดอกเบี้ยคงที่ (Flat Rate) มาตรฐานไฟแนนซ์รถจักรยานยนต์ พร้อมตารางสำเร็จรูป</t>
  </si>
  <si>
    <t xml:space="preserve"> เครื่องคำนวณค่างวดเดี่ยว (Interactive Single Calculator)</t>
  </si>
  <si>
    <t xml:space="preserve"> สูตรการคำนวณ Flat Rate (ดอกเบี้ยคงที่)</t>
  </si>
  <si>
    <t>ชื่อรุ่นรถ / Model:</t>
  </si>
  <si>
    <t>HONDA GIORNO+ (CBS)</t>
  </si>
  <si>
    <t>1. ยอดจัด = (ราคารถ + ค่าดำเนินการ) - เงินดาวน์</t>
  </si>
  <si>
    <t>ราคาสดตัวรถ (Cash Price):</t>
  </si>
  <si>
    <t>2. ดอกเบี้ยรวม = ยอดจัด × ดอกเบี้ยต่อเดือน × จำนวนงวด</t>
  </si>
  <si>
    <t>บวกค่า พรบ./ทะเบียน/ประกันรถหาย (รวมในยอดจัด):</t>
  </si>
  <si>
    <t xml:space="preserve">   (หากเป็นดอกเบี้ยต่อปี: ยอดจัด × ดอกเบี้ยต่อปี × (งวด ÷ 12))</t>
  </si>
  <si>
    <t>รวมราคารถสุทธิ (Net Price):</t>
  </si>
  <si>
    <t>3. ยอดรวมทั้งสิ้น = ยอดจัด + ดอกเบี้ยรวม</t>
  </si>
  <si>
    <t>เงินดาวน์ (Down Payment):</t>
  </si>
  <si>
    <t>4. ค่างวดต่อเดือน = ยอดรวมทั้งสิ้น ÷ จำนวนงวด</t>
  </si>
  <si>
    <t>ยอดจัดไฟแนนซ์ (Financing Amount):</t>
  </si>
  <si>
    <t>--------------------------------------------------------</t>
  </si>
  <si>
    <t>อัตราดอกเบี้ยต่อเดือน (Flat Rate / Month %):</t>
  </si>
  <si>
    <t>หมายเหตุวงการไฟแนนซ์มอเตอร์ไซค์:</t>
  </si>
  <si>
    <t>ระยะเวลาผ่อน (จำนวนงวด / Months):</t>
  </si>
  <si>
    <t>• ดอกเบี้ยมอเตอร์ไซค์ขนาดเล็ก (&lt;200cc) นิยมคิดเป็น % ต่อเดือน</t>
  </si>
  <si>
    <t>รวมดอกเบี้ยทั้งหมด (Total Interest):</t>
  </si>
  <si>
    <t>• ดอกเบี้ย Big Bike (&gt;200cc เช่น XMAX) นิยมคิดเป็น % ต่อปี</t>
  </si>
  <si>
    <t>ยอดหนี้รวมทั้งหมด (Total Debt):</t>
  </si>
  <si>
    <t>• โปร 'ฟรีดาวน์ / 0%' มักนำค่าประกัน/ทะเบียนไปรวมในยอดจัด</t>
  </si>
  <si>
    <t>ค่างวดต่อเดือน (Monthly Payment):</t>
  </si>
  <si>
    <t>• สามารถปรับตัวเลขในช่องสีเหลืองอ่อนเพื่อคำนวณได้ทันที</t>
  </si>
  <si>
    <t xml:space="preserve"> ค่า  พรบ./ทะเบียน/ประกันรถหาย </t>
  </si>
  <si>
    <t xml:space="preserve">ออกรถได้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</si>
</sst>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charset val="222"/>
      <scheme val="minor"/>
    </font>
    <font>
      <b/>
      <sz val="11"/>
      <name val="Tahoma"/>
      <family val="2"/>
    </font>
    <font>
      <b/>
      <sz val="11"/>
      <color rgb="FFFF0000"/>
      <name val="Tahoma"/>
      <family val="2"/>
    </font>
    <font>
      <sz val="11"/>
      <color theme="1"/>
      <name val="Tahoma"/>
      <family val="2"/>
      <scheme val="minor"/>
    </font>
    <font>
      <sz val="14"/>
      <color theme="1"/>
      <name val="Prompt"/>
    </font>
    <font>
      <b/>
      <sz val="14"/>
      <color rgb="FFFFFFFF"/>
      <name val="Prompt"/>
    </font>
    <font>
      <i/>
      <sz val="14"/>
      <color rgb="FF595959"/>
      <name val="Prompt"/>
    </font>
    <font>
      <b/>
      <sz val="14"/>
      <color rgb="FF1F4E79"/>
      <name val="Prompt"/>
    </font>
    <font>
      <sz val="14"/>
      <name val="Prompt"/>
    </font>
    <font>
      <sz val="14"/>
      <color rgb="FF595959"/>
      <name val="Prompt"/>
    </font>
    <font>
      <b/>
      <sz val="14"/>
      <name val="Prompt"/>
    </font>
    <font>
      <b/>
      <sz val="14"/>
      <color rgb="FFC00000"/>
      <name val="Prompt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  <fill>
      <patternFill patternType="solid">
        <fgColor rgb="FFFFFFF0"/>
        <bgColor rgb="FFFFFFF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2">
    <xf numFmtId="0" fontId="0" fillId="0" borderId="0"/>
    <xf numFmtId="0" fontId="3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9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3" xfId="0" applyBorder="1"/>
    <xf numFmtId="3" fontId="0" fillId="6" borderId="1" xfId="0" applyNumberForma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5" fillId="8" borderId="4" xfId="1" applyFont="1" applyFill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0" fontId="7" fillId="9" borderId="6" xfId="1" applyFont="1" applyFill="1" applyBorder="1" applyAlignment="1">
      <alignment vertical="center"/>
    </xf>
    <xf numFmtId="0" fontId="7" fillId="9" borderId="7" xfId="1" applyFont="1" applyFill="1" applyBorder="1" applyAlignment="1">
      <alignment vertical="center"/>
    </xf>
    <xf numFmtId="0" fontId="7" fillId="9" borderId="8" xfId="1" applyFont="1" applyFill="1" applyBorder="1" applyAlignment="1">
      <alignment vertical="center"/>
    </xf>
    <xf numFmtId="0" fontId="8" fillId="10" borderId="5" xfId="1" applyFont="1" applyFill="1" applyBorder="1" applyAlignment="1">
      <alignment horizontal="center" vertical="center"/>
    </xf>
    <xf numFmtId="0" fontId="9" fillId="9" borderId="6" xfId="1" applyFont="1" applyFill="1" applyBorder="1" applyAlignment="1">
      <alignment vertical="center"/>
    </xf>
    <xf numFmtId="0" fontId="9" fillId="9" borderId="7" xfId="1" applyFont="1" applyFill="1" applyBorder="1" applyAlignment="1">
      <alignment vertical="center"/>
    </xf>
    <xf numFmtId="0" fontId="9" fillId="9" borderId="8" xfId="1" applyFont="1" applyFill="1" applyBorder="1" applyAlignment="1">
      <alignment vertical="center"/>
    </xf>
    <xf numFmtId="0" fontId="10" fillId="0" borderId="5" xfId="1" applyFont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3" fontId="11" fillId="3" borderId="0" xfId="1" applyNumberFormat="1" applyFont="1" applyFill="1" applyAlignment="1">
      <alignment horizontal="center" vertical="center"/>
    </xf>
    <xf numFmtId="0" fontId="9" fillId="9" borderId="0" xfId="1" applyFont="1" applyFill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3" fontId="0" fillId="4" borderId="1" xfId="0" applyNumberForma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10" fillId="0" borderId="6" xfId="1" applyNumberFormat="1" applyFont="1" applyBorder="1" applyAlignment="1">
      <alignment horizontal="center" vertical="center"/>
    </xf>
    <xf numFmtId="3" fontId="10" fillId="0" borderId="7" xfId="1" applyNumberFormat="1" applyFont="1" applyBorder="1" applyAlignment="1">
      <alignment horizontal="center" vertical="center"/>
    </xf>
    <xf numFmtId="3" fontId="10" fillId="0" borderId="8" xfId="1" applyNumberFormat="1" applyFont="1" applyBorder="1" applyAlignment="1">
      <alignment horizontal="center" vertical="center"/>
    </xf>
    <xf numFmtId="3" fontId="11" fillId="3" borderId="6" xfId="1" applyNumberFormat="1" applyFont="1" applyFill="1" applyBorder="1" applyAlignment="1">
      <alignment horizontal="center" vertical="center"/>
    </xf>
    <xf numFmtId="3" fontId="11" fillId="3" borderId="7" xfId="1" applyNumberFormat="1" applyFont="1" applyFill="1" applyBorder="1" applyAlignment="1">
      <alignment horizontal="center" vertical="center"/>
    </xf>
    <xf numFmtId="3" fontId="11" fillId="3" borderId="8" xfId="1" applyNumberFormat="1" applyFont="1" applyFill="1" applyBorder="1" applyAlignment="1">
      <alignment horizontal="center" vertical="center"/>
    </xf>
    <xf numFmtId="3" fontId="8" fillId="10" borderId="6" xfId="1" applyNumberFormat="1" applyFont="1" applyFill="1" applyBorder="1" applyAlignment="1">
      <alignment horizontal="center" vertical="center"/>
    </xf>
    <xf numFmtId="3" fontId="8" fillId="10" borderId="7" xfId="1" applyNumberFormat="1" applyFont="1" applyFill="1" applyBorder="1" applyAlignment="1">
      <alignment horizontal="center" vertical="center"/>
    </xf>
    <xf numFmtId="3" fontId="8" fillId="10" borderId="8" xfId="1" applyNumberFormat="1" applyFont="1" applyFill="1" applyBorder="1" applyAlignment="1">
      <alignment horizontal="center" vertical="center"/>
    </xf>
    <xf numFmtId="10" fontId="8" fillId="10" borderId="6" xfId="1" applyNumberFormat="1" applyFont="1" applyFill="1" applyBorder="1" applyAlignment="1">
      <alignment horizontal="center" vertical="center"/>
    </xf>
    <xf numFmtId="10" fontId="8" fillId="10" borderId="7" xfId="1" applyNumberFormat="1" applyFont="1" applyFill="1" applyBorder="1" applyAlignment="1">
      <alignment horizontal="center" vertical="center"/>
    </xf>
    <xf numFmtId="10" fontId="8" fillId="10" borderId="8" xfId="1" applyNumberFormat="1" applyFont="1" applyFill="1" applyBorder="1" applyAlignment="1">
      <alignment horizontal="center" vertical="center"/>
    </xf>
    <xf numFmtId="1" fontId="8" fillId="10" borderId="6" xfId="1" applyNumberFormat="1" applyFont="1" applyFill="1" applyBorder="1" applyAlignment="1">
      <alignment horizontal="center" vertical="center"/>
    </xf>
    <xf numFmtId="1" fontId="8" fillId="10" borderId="7" xfId="1" applyNumberFormat="1" applyFont="1" applyFill="1" applyBorder="1" applyAlignment="1">
      <alignment horizontal="center" vertical="center"/>
    </xf>
    <xf numFmtId="1" fontId="8" fillId="10" borderId="8" xfId="1" applyNumberFormat="1" applyFont="1" applyFill="1" applyBorder="1" applyAlignment="1">
      <alignment horizontal="center" vertical="center"/>
    </xf>
    <xf numFmtId="3" fontId="8" fillId="0" borderId="6" xfId="1" applyNumberFormat="1" applyFont="1" applyBorder="1" applyAlignment="1">
      <alignment horizontal="center" vertical="center"/>
    </xf>
    <xf numFmtId="3" fontId="8" fillId="0" borderId="7" xfId="1" applyNumberFormat="1" applyFont="1" applyBorder="1" applyAlignment="1">
      <alignment horizontal="center" vertical="center"/>
    </xf>
    <xf numFmtId="3" fontId="8" fillId="0" borderId="8" xfId="1" applyNumberFormat="1" applyFont="1" applyBorder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7" borderId="4" xfId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11" fillId="3" borderId="9" xfId="1" applyFont="1" applyFill="1" applyBorder="1" applyAlignment="1">
      <alignment horizontal="center" vertical="center"/>
    </xf>
    <xf numFmtId="3" fontId="11" fillId="3" borderId="0" xfId="1" applyNumberFormat="1" applyFont="1" applyFill="1" applyAlignment="1">
      <alignment horizontal="center" vertical="center"/>
    </xf>
  </cellXfs>
  <cellStyles count="2">
    <cellStyle name="ปกติ" xfId="0" builtinId="0"/>
    <cellStyle name="ปกติ 2" xfId="1" xr:uid="{F4967C56-F262-4425-BDA7-E655B91174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DBF1-D823-493D-B62B-AA6173DA1223}">
  <dimension ref="A1:O132"/>
  <sheetViews>
    <sheetView tabSelected="1" workbookViewId="0">
      <pane ySplit="1" topLeftCell="A2" activePane="bottomLeft" state="frozen"/>
      <selection pane="bottomLeft" activeCell="H125" sqref="H125"/>
    </sheetView>
  </sheetViews>
  <sheetFormatPr defaultRowHeight="14.25" x14ac:dyDescent="0.2"/>
  <cols>
    <col min="1" max="1" width="36.375" bestFit="1" customWidth="1"/>
  </cols>
  <sheetData>
    <row r="1" spans="1:14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/>
      <c r="K1" s="33"/>
      <c r="L1" s="33"/>
      <c r="M1" s="33"/>
      <c r="N1" s="33"/>
    </row>
    <row r="2" spans="1:14" x14ac:dyDescent="0.2">
      <c r="A2" s="33"/>
      <c r="B2" s="33"/>
      <c r="C2" s="33"/>
      <c r="D2" s="33"/>
      <c r="E2" s="33"/>
      <c r="F2" s="33"/>
      <c r="G2" s="33"/>
      <c r="H2" s="33"/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">
      <c r="A3" s="34" t="s">
        <v>15</v>
      </c>
      <c r="B3" s="34" t="s">
        <v>16</v>
      </c>
      <c r="C3" s="31">
        <v>54600</v>
      </c>
      <c r="D3" s="32">
        <v>1.4999999999999999E-2</v>
      </c>
      <c r="E3" s="3">
        <v>0</v>
      </c>
      <c r="F3" s="4">
        <v>0</v>
      </c>
      <c r="G3" s="31">
        <v>1000</v>
      </c>
      <c r="H3" s="5">
        <f>F3+G3</f>
        <v>1000</v>
      </c>
      <c r="I3" s="5">
        <f>ROUNDUP(((C3-F3) + ((C3-F3)*D3*12))/12, 0)</f>
        <v>5369</v>
      </c>
      <c r="J3" s="5">
        <f>ROUNDUP(((C3-F3) + ((C3-F3)*D3*18))/18, 0)</f>
        <v>3853</v>
      </c>
      <c r="K3" s="5">
        <f>ROUNDUP(((C3-F3) + ((C3-F3)*D3*24))/24, 0)</f>
        <v>3094</v>
      </c>
      <c r="L3" s="5">
        <f>ROUNDUP(((C3-F3) + ((C3-F3)*D3*30))/30, 0)</f>
        <v>2639</v>
      </c>
      <c r="M3" s="5">
        <f>ROUNDUP(((C3-F3) + ((C3-F3)*D3*36))/36, 0)</f>
        <v>2336</v>
      </c>
      <c r="N3" s="6">
        <f>ROUNDUP(((C3-F3) + ((C3-F3)*D3*48))/48, 0)</f>
        <v>1957</v>
      </c>
    </row>
    <row r="4" spans="1:14" x14ac:dyDescent="0.2">
      <c r="A4" s="29"/>
      <c r="B4" s="29"/>
      <c r="C4" s="29"/>
      <c r="D4" s="29"/>
      <c r="E4" s="8">
        <v>0.05</v>
      </c>
      <c r="F4" s="9">
        <f>ROUND(C3*E4, 0)</f>
        <v>2730</v>
      </c>
      <c r="G4" s="29"/>
      <c r="H4" s="9">
        <f>F4+G3</f>
        <v>3730</v>
      </c>
      <c r="I4" s="9">
        <f>ROUNDUP(((C3-F4) + ((C3-F4)*D3*12))/12, 0)</f>
        <v>5101</v>
      </c>
      <c r="J4" s="9">
        <f>ROUNDUP(((C3-F4) + ((C3-F4)*D3*18))/18, 0)</f>
        <v>3660</v>
      </c>
      <c r="K4" s="9">
        <f>ROUNDUP(((C3-F4) + ((C3-F4)*D3*24))/24, 0)</f>
        <v>2940</v>
      </c>
      <c r="L4" s="9">
        <f>ROUNDUP(((C3-F4) + ((C3-F4)*D3*30))/30, 0)</f>
        <v>2508</v>
      </c>
      <c r="M4" s="9">
        <f>ROUNDUP(((C3-F4) + ((C3-F4)*D3*36))/36, 0)</f>
        <v>2219</v>
      </c>
      <c r="N4" s="9">
        <f>ROUNDUP(((C3-F4) + ((C3-F4)*D3*48))/48, 0)</f>
        <v>1859</v>
      </c>
    </row>
    <row r="5" spans="1:14" x14ac:dyDescent="0.2">
      <c r="A5" s="29"/>
      <c r="B5" s="29"/>
      <c r="C5" s="29"/>
      <c r="D5" s="29"/>
      <c r="E5" s="8">
        <v>0.1</v>
      </c>
      <c r="F5" s="9">
        <f>ROUND(C3*E5, 0)</f>
        <v>5460</v>
      </c>
      <c r="G5" s="29"/>
      <c r="H5" s="9">
        <f>F5+G3</f>
        <v>6460</v>
      </c>
      <c r="I5" s="9">
        <f>ROUNDUP(((C3-F5) + ((C3-F5)*D3*12))/12, 0)</f>
        <v>4833</v>
      </c>
      <c r="J5" s="9">
        <f>ROUNDUP(((C3-F5) + ((C3-F5)*D3*18))/18, 0)</f>
        <v>3468</v>
      </c>
      <c r="K5" s="9">
        <f>ROUNDUP(((C3-F5) + ((C3-F5)*D3*24))/24, 0)</f>
        <v>2785</v>
      </c>
      <c r="L5" s="9">
        <f>ROUNDUP(((C3-F5) + ((C3-F5)*D3*30))/30, 0)</f>
        <v>2376</v>
      </c>
      <c r="M5" s="9">
        <f>ROUNDUP(((C3-F5) + ((C3-F5)*D3*36))/36, 0)</f>
        <v>2103</v>
      </c>
      <c r="N5" s="9">
        <f>ROUNDUP(((C3-F5) + ((C3-F5)*D3*48))/48, 0)</f>
        <v>1761</v>
      </c>
    </row>
    <row r="6" spans="1:14" x14ac:dyDescent="0.2">
      <c r="A6" s="30"/>
      <c r="B6" s="30"/>
      <c r="C6" s="30"/>
      <c r="D6" s="30"/>
      <c r="E6" s="8">
        <v>0.15</v>
      </c>
      <c r="F6" s="9">
        <f>ROUND(C3*E6, 0)</f>
        <v>8190</v>
      </c>
      <c r="G6" s="30"/>
      <c r="H6" s="9">
        <f>F6+G3</f>
        <v>9190</v>
      </c>
      <c r="I6" s="9">
        <f>ROUNDUP(((C3-F6) + ((C3-F6)*D3*12))/12, 0)</f>
        <v>4564</v>
      </c>
      <c r="J6" s="9">
        <f>ROUNDUP(((C3-F6) + ((C3-F6)*D3*18))/18, 0)</f>
        <v>3275</v>
      </c>
      <c r="K6" s="9">
        <f>ROUNDUP(((C3-F6) + ((C3-F6)*D3*24))/24, 0)</f>
        <v>2630</v>
      </c>
      <c r="L6" s="9">
        <f>ROUNDUP(((C3-F6) + ((C3-F6)*D3*30))/30, 0)</f>
        <v>2244</v>
      </c>
      <c r="M6" s="9">
        <f>ROUNDUP(((C3-F6) + ((C3-F6)*D3*36))/36, 0)</f>
        <v>1986</v>
      </c>
      <c r="N6" s="9">
        <f>ROUNDUP(((C3-F6) + ((C3-F6)*D3*48))/48, 0)</f>
        <v>1664</v>
      </c>
    </row>
    <row r="7" spans="1:14" x14ac:dyDescent="0.2">
      <c r="A7" s="34" t="s">
        <v>17</v>
      </c>
      <c r="B7" s="34" t="s">
        <v>18</v>
      </c>
      <c r="C7" s="31">
        <v>53200</v>
      </c>
      <c r="D7" s="32">
        <v>1.4999999999999999E-2</v>
      </c>
      <c r="E7" s="3">
        <v>0</v>
      </c>
      <c r="F7" s="4">
        <v>0</v>
      </c>
      <c r="G7" s="31">
        <v>1000</v>
      </c>
      <c r="H7" s="5">
        <f>F7+G7</f>
        <v>1000</v>
      </c>
      <c r="I7" s="5">
        <f>ROUNDUP(((C7-F7) + ((C7-F7)*D7*12))/12, 0)</f>
        <v>5232</v>
      </c>
      <c r="J7" s="5">
        <f>ROUNDUP(((C7-F7) + ((C7-F7)*D7*18))/18, 0)</f>
        <v>3754</v>
      </c>
      <c r="K7" s="5">
        <f>ROUNDUP(((C7-F7) + ((C7-F7)*D7*24))/24, 0)</f>
        <v>3015</v>
      </c>
      <c r="L7" s="5">
        <f>ROUNDUP(((C7-F7) + ((C7-F7)*D7*30))/30, 0)</f>
        <v>2572</v>
      </c>
      <c r="M7" s="5">
        <f>ROUNDUP(((C7-F7) + ((C7-F7)*D7*36))/36, 0)</f>
        <v>2276</v>
      </c>
      <c r="N7" s="6">
        <f>ROUNDUP(((C7-F7) + ((C7-F7)*D7*48))/48, 0)</f>
        <v>1907</v>
      </c>
    </row>
    <row r="8" spans="1:14" x14ac:dyDescent="0.2">
      <c r="A8" s="29"/>
      <c r="B8" s="29"/>
      <c r="C8" s="29"/>
      <c r="D8" s="29"/>
      <c r="E8" s="8">
        <v>0.05</v>
      </c>
      <c r="F8" s="9">
        <f>ROUND(C7*E8, 0)</f>
        <v>2660</v>
      </c>
      <c r="G8" s="29"/>
      <c r="H8" s="9">
        <f>F8+G7</f>
        <v>3660</v>
      </c>
      <c r="I8" s="9">
        <f>ROUNDUP(((C7-F8) + ((C7-F8)*D7*12))/12, 0)</f>
        <v>4970</v>
      </c>
      <c r="J8" s="9">
        <f>ROUNDUP(((C7-F8) + ((C7-F8)*D7*18))/18, 0)</f>
        <v>3566</v>
      </c>
      <c r="K8" s="9">
        <f>ROUNDUP(((C7-F8) + ((C7-F8)*D7*24))/24, 0)</f>
        <v>2864</v>
      </c>
      <c r="L8" s="9">
        <f>ROUNDUP(((C7-F8) + ((C7-F8)*D7*30))/30, 0)</f>
        <v>2443</v>
      </c>
      <c r="M8" s="9">
        <f>ROUNDUP(((C7-F8) + ((C7-F8)*D7*36))/36, 0)</f>
        <v>2162</v>
      </c>
      <c r="N8" s="9">
        <f>ROUNDUP(((C7-F8) + ((C7-F8)*D7*48))/48, 0)</f>
        <v>1812</v>
      </c>
    </row>
    <row r="9" spans="1:14" x14ac:dyDescent="0.2">
      <c r="A9" s="29"/>
      <c r="B9" s="29"/>
      <c r="C9" s="29"/>
      <c r="D9" s="29"/>
      <c r="E9" s="8">
        <v>0.1</v>
      </c>
      <c r="F9" s="9">
        <f>ROUND(C7*E9, 0)</f>
        <v>5320</v>
      </c>
      <c r="G9" s="29"/>
      <c r="H9" s="9">
        <f>F9+G7</f>
        <v>6320</v>
      </c>
      <c r="I9" s="9">
        <f>ROUNDUP(((C7-F9) + ((C7-F9)*D7*12))/12, 0)</f>
        <v>4709</v>
      </c>
      <c r="J9" s="9">
        <f>ROUNDUP(((C7-F9) + ((C7-F9)*D7*18))/18, 0)</f>
        <v>3379</v>
      </c>
      <c r="K9" s="9">
        <f>ROUNDUP(((C7-F9) + ((C7-F9)*D7*24))/24, 0)</f>
        <v>2714</v>
      </c>
      <c r="L9" s="9">
        <f>ROUNDUP(((C7-F9) + ((C7-F9)*D7*30))/30, 0)</f>
        <v>2315</v>
      </c>
      <c r="M9" s="9">
        <f>ROUNDUP(((C7-F9) + ((C7-F9)*D7*36))/36, 0)</f>
        <v>2049</v>
      </c>
      <c r="N9" s="9">
        <f>ROUNDUP(((C7-F9) + ((C7-F9)*D7*48))/48, 0)</f>
        <v>1716</v>
      </c>
    </row>
    <row r="10" spans="1:14" x14ac:dyDescent="0.2">
      <c r="A10" s="30"/>
      <c r="B10" s="30"/>
      <c r="C10" s="30"/>
      <c r="D10" s="30"/>
      <c r="E10" s="8">
        <v>0.15</v>
      </c>
      <c r="F10" s="9">
        <f>ROUND(C7*E10, 0)</f>
        <v>7980</v>
      </c>
      <c r="G10" s="30"/>
      <c r="H10" s="9">
        <f>F10+G7</f>
        <v>8980</v>
      </c>
      <c r="I10" s="9">
        <f>ROUNDUP(((C7-F10) + ((C7-F10)*D7*12))/12, 0)</f>
        <v>4447</v>
      </c>
      <c r="J10" s="9">
        <f>ROUNDUP(((C7-F10) + ((C7-F10)*D7*18))/18, 0)</f>
        <v>3191</v>
      </c>
      <c r="K10" s="9">
        <f>ROUNDUP(((C7-F10) + ((C7-F10)*D7*24))/24, 0)</f>
        <v>2563</v>
      </c>
      <c r="L10" s="9">
        <f>ROUNDUP(((C7-F10) + ((C7-F10)*D7*30))/30, 0)</f>
        <v>2186</v>
      </c>
      <c r="M10" s="9">
        <f>ROUNDUP(((C7-F10) + ((C7-F10)*D7*36))/36, 0)</f>
        <v>1935</v>
      </c>
      <c r="N10" s="9">
        <f>ROUNDUP(((C7-F10) + ((C7-F10)*D7*48))/48, 0)</f>
        <v>1621</v>
      </c>
    </row>
    <row r="11" spans="1:14" x14ac:dyDescent="0.2">
      <c r="A11" s="34" t="s">
        <v>15</v>
      </c>
      <c r="B11" s="34" t="s">
        <v>19</v>
      </c>
      <c r="C11" s="31">
        <v>55200</v>
      </c>
      <c r="D11" s="32">
        <v>1.4999999999999999E-2</v>
      </c>
      <c r="E11" s="3">
        <v>0</v>
      </c>
      <c r="F11" s="4">
        <v>2900</v>
      </c>
      <c r="G11" s="31">
        <v>1000</v>
      </c>
      <c r="H11" s="5">
        <f>F11+G11</f>
        <v>3900</v>
      </c>
      <c r="I11" s="5">
        <f>ROUNDUP(((C11-F11) + ((C11-F11)*D11*12))/12, 0)</f>
        <v>5143</v>
      </c>
      <c r="J11" s="5">
        <f>ROUNDUP(((C11-F11) + ((C11-F11)*D11*18))/18, 0)</f>
        <v>3691</v>
      </c>
      <c r="K11" s="5">
        <f>ROUNDUP(((C11-F11) + ((C11-F11)*D11*24))/24, 0)</f>
        <v>2964</v>
      </c>
      <c r="L11" s="5">
        <f>ROUNDUP(((C11-F11) + ((C11-F11)*D11*30))/30, 0)</f>
        <v>2528</v>
      </c>
      <c r="M11" s="5">
        <f>ROUNDUP(((C11-F11) + ((C11-F11)*D11*36))/36, 0)</f>
        <v>2238</v>
      </c>
      <c r="N11" s="6">
        <f>ROUNDUP(((C11-F11) + ((C11-F11)*D11*48))/48, 0)</f>
        <v>1875</v>
      </c>
    </row>
    <row r="12" spans="1:14" x14ac:dyDescent="0.2">
      <c r="A12" s="29"/>
      <c r="B12" s="29"/>
      <c r="C12" s="29"/>
      <c r="D12" s="29"/>
      <c r="E12" s="8">
        <v>0.05</v>
      </c>
      <c r="F12" s="9">
        <f>ROUND(C11*E12, 0)</f>
        <v>2760</v>
      </c>
      <c r="G12" s="29"/>
      <c r="H12" s="9">
        <f>F12+G11</f>
        <v>3760</v>
      </c>
      <c r="I12" s="9">
        <f>ROUNDUP(((C11-F12) + ((C11-F12)*D11*12))/12, 0)</f>
        <v>5157</v>
      </c>
      <c r="J12" s="9">
        <f>ROUNDUP(((C11-F12) + ((C11-F12)*D11*18))/18, 0)</f>
        <v>3700</v>
      </c>
      <c r="K12" s="9">
        <f>ROUNDUP(((C11-F12) + ((C11-F12)*D11*24))/24, 0)</f>
        <v>2972</v>
      </c>
      <c r="L12" s="9">
        <f>ROUNDUP(((C11-F12) + ((C11-F12)*D11*30))/30, 0)</f>
        <v>2535</v>
      </c>
      <c r="M12" s="9">
        <f>ROUNDUP(((C11-F12) + ((C11-F12)*D11*36))/36, 0)</f>
        <v>2244</v>
      </c>
      <c r="N12" s="9">
        <f>ROUNDUP(((C11-F12) + ((C11-F12)*D11*48))/48, 0)</f>
        <v>1880</v>
      </c>
    </row>
    <row r="13" spans="1:14" x14ac:dyDescent="0.2">
      <c r="A13" s="29"/>
      <c r="B13" s="29"/>
      <c r="C13" s="29"/>
      <c r="D13" s="29"/>
      <c r="E13" s="8">
        <v>0.1</v>
      </c>
      <c r="F13" s="9">
        <f>ROUND(C11*E13, 0)</f>
        <v>5520</v>
      </c>
      <c r="G13" s="29"/>
      <c r="H13" s="9">
        <f>F13+G11</f>
        <v>6520</v>
      </c>
      <c r="I13" s="9">
        <f>ROUNDUP(((C11-F13) + ((C11-F13)*D11*12))/12, 0)</f>
        <v>4886</v>
      </c>
      <c r="J13" s="9">
        <f>ROUNDUP(((C11-F13) + ((C11-F13)*D11*18))/18, 0)</f>
        <v>3506</v>
      </c>
      <c r="K13" s="9">
        <f>ROUNDUP(((C11-F13) + ((C11-F13)*D11*24))/24, 0)</f>
        <v>2816</v>
      </c>
      <c r="L13" s="9">
        <f>ROUNDUP(((C11-F13) + ((C11-F13)*D11*30))/30, 0)</f>
        <v>2402</v>
      </c>
      <c r="M13" s="9">
        <f>ROUNDUP(((C11-F13) + ((C11-F13)*D11*36))/36, 0)</f>
        <v>2126</v>
      </c>
      <c r="N13" s="9">
        <f>ROUNDUP(((C11-F13) + ((C11-F13)*D11*48))/48, 0)</f>
        <v>1781</v>
      </c>
    </row>
    <row r="14" spans="1:14" x14ac:dyDescent="0.2">
      <c r="A14" s="30"/>
      <c r="B14" s="30"/>
      <c r="C14" s="30"/>
      <c r="D14" s="30"/>
      <c r="E14" s="8">
        <v>0.15</v>
      </c>
      <c r="F14" s="9">
        <f>ROUND(C11*E14, 0)</f>
        <v>8280</v>
      </c>
      <c r="G14" s="30"/>
      <c r="H14" s="9">
        <f>F14+G11</f>
        <v>9280</v>
      </c>
      <c r="I14" s="9">
        <f>ROUNDUP(((C11-F14) + ((C11-F14)*D11*12))/12, 0)</f>
        <v>4614</v>
      </c>
      <c r="J14" s="9">
        <f>ROUNDUP(((C11-F14) + ((C11-F14)*D11*18))/18, 0)</f>
        <v>3311</v>
      </c>
      <c r="K14" s="9">
        <f>ROUNDUP(((C11-F14) + ((C11-F14)*D11*24))/24, 0)</f>
        <v>2659</v>
      </c>
      <c r="L14" s="9">
        <f>ROUNDUP(((C11-F14) + ((C11-F14)*D11*30))/30, 0)</f>
        <v>2268</v>
      </c>
      <c r="M14" s="9">
        <f>ROUNDUP(((C11-F14) + ((C11-F14)*D11*36))/36, 0)</f>
        <v>2008</v>
      </c>
      <c r="N14" s="9">
        <f>ROUNDUP(((C11-F14) + ((C11-F14)*D11*48))/48, 0)</f>
        <v>1682</v>
      </c>
    </row>
    <row r="15" spans="1:14" x14ac:dyDescent="0.2">
      <c r="A15" s="34" t="s">
        <v>20</v>
      </c>
      <c r="B15" s="34" t="s">
        <v>21</v>
      </c>
      <c r="C15" s="31">
        <v>62200</v>
      </c>
      <c r="D15" s="32">
        <v>1.4999999999999999E-2</v>
      </c>
      <c r="E15" s="3">
        <v>0</v>
      </c>
      <c r="F15" s="4">
        <v>3900</v>
      </c>
      <c r="G15" s="31">
        <v>1000</v>
      </c>
      <c r="H15" s="5">
        <f>F15+G15</f>
        <v>4900</v>
      </c>
      <c r="I15" s="5">
        <f>ROUNDUP(((C15-F15) + ((C15-F15)*D15*12))/12, 0)</f>
        <v>5733</v>
      </c>
      <c r="J15" s="5">
        <f>ROUNDUP(((C15-F15) + ((C15-F15)*D15*18))/18, 0)</f>
        <v>4114</v>
      </c>
      <c r="K15" s="5">
        <f>ROUNDUP(((C15-F15) + ((C15-F15)*D15*24))/24, 0)</f>
        <v>3304</v>
      </c>
      <c r="L15" s="5">
        <f>ROUNDUP(((C15-F15) + ((C15-F15)*D15*30))/30, 0)</f>
        <v>2818</v>
      </c>
      <c r="M15" s="5">
        <f>ROUNDUP(((C15-F15) + ((C15-F15)*D15*36))/36, 0)</f>
        <v>2494</v>
      </c>
      <c r="N15" s="6">
        <f>ROUNDUP(((C15-F15) + ((C15-F15)*D15*48))/48, 0)</f>
        <v>2090</v>
      </c>
    </row>
    <row r="16" spans="1:14" x14ac:dyDescent="0.2">
      <c r="A16" s="29"/>
      <c r="B16" s="29"/>
      <c r="C16" s="29"/>
      <c r="D16" s="29"/>
      <c r="E16" s="8">
        <v>0.05</v>
      </c>
      <c r="F16" s="9">
        <f>ROUND(C15*E16, 0)</f>
        <v>3110</v>
      </c>
      <c r="G16" s="29"/>
      <c r="H16" s="9">
        <f>F16+G15</f>
        <v>4110</v>
      </c>
      <c r="I16" s="9">
        <f>ROUNDUP(((C15-F16) + ((C15-F16)*D15*12))/12, 0)</f>
        <v>5811</v>
      </c>
      <c r="J16" s="9">
        <f>ROUNDUP(((C15-F16) + ((C15-F16)*D15*18))/18, 0)</f>
        <v>4170</v>
      </c>
      <c r="K16" s="9">
        <f>ROUNDUP(((C15-F16) + ((C15-F16)*D15*24))/24, 0)</f>
        <v>3349</v>
      </c>
      <c r="L16" s="9">
        <f>ROUNDUP(((C15-F16) + ((C15-F16)*D15*30))/30, 0)</f>
        <v>2857</v>
      </c>
      <c r="M16" s="9">
        <f>ROUNDUP(((C15-F16) + ((C15-F16)*D15*36))/36, 0)</f>
        <v>2528</v>
      </c>
      <c r="N16" s="9">
        <f>ROUNDUP(((C15-F16) + ((C15-F16)*D15*48))/48, 0)</f>
        <v>2118</v>
      </c>
    </row>
    <row r="17" spans="1:14" x14ac:dyDescent="0.2">
      <c r="A17" s="29"/>
      <c r="B17" s="29"/>
      <c r="C17" s="29"/>
      <c r="D17" s="29"/>
      <c r="E17" s="8">
        <v>0.1</v>
      </c>
      <c r="F17" s="9">
        <f>ROUND(C15*E17, 0)</f>
        <v>6220</v>
      </c>
      <c r="G17" s="29"/>
      <c r="H17" s="9">
        <f>F17+G15</f>
        <v>7220</v>
      </c>
      <c r="I17" s="9">
        <f>ROUNDUP(((C15-F17) + ((C15-F17)*D15*12))/12, 0)</f>
        <v>5505</v>
      </c>
      <c r="J17" s="9">
        <f>ROUNDUP(((C15-F17) + ((C15-F17)*D15*18))/18, 0)</f>
        <v>3950</v>
      </c>
      <c r="K17" s="9">
        <f>ROUNDUP(((C15-F17) + ((C15-F17)*D15*24))/24, 0)</f>
        <v>3173</v>
      </c>
      <c r="L17" s="9">
        <f>ROUNDUP(((C15-F17) + ((C15-F17)*D15*30))/30, 0)</f>
        <v>2706</v>
      </c>
      <c r="M17" s="9">
        <f>ROUNDUP(((C15-F17) + ((C15-F17)*D15*36))/36, 0)</f>
        <v>2395</v>
      </c>
      <c r="N17" s="9">
        <f>ROUNDUP(((C15-F17) + ((C15-F17)*D15*48))/48, 0)</f>
        <v>2006</v>
      </c>
    </row>
    <row r="18" spans="1:14" x14ac:dyDescent="0.2">
      <c r="A18" s="30"/>
      <c r="B18" s="30"/>
      <c r="C18" s="30"/>
      <c r="D18" s="30"/>
      <c r="E18" s="8">
        <v>0.15</v>
      </c>
      <c r="F18" s="9">
        <f>ROUND(C15*E18, 0)</f>
        <v>9330</v>
      </c>
      <c r="G18" s="30"/>
      <c r="H18" s="9">
        <f>F18+G15</f>
        <v>10330</v>
      </c>
      <c r="I18" s="9">
        <f>ROUNDUP(((C15-F18) + ((C15-F18)*D15*12))/12, 0)</f>
        <v>5199</v>
      </c>
      <c r="J18" s="9">
        <f>ROUNDUP(((C15-F18) + ((C15-F18)*D15*18))/18, 0)</f>
        <v>3731</v>
      </c>
      <c r="K18" s="9">
        <f>ROUNDUP(((C15-F18) + ((C15-F18)*D15*24))/24, 0)</f>
        <v>2996</v>
      </c>
      <c r="L18" s="9">
        <f>ROUNDUP(((C15-F18) + ((C15-F18)*D15*30))/30, 0)</f>
        <v>2556</v>
      </c>
      <c r="M18" s="9">
        <f>ROUNDUP(((C15-F18) + ((C15-F18)*D15*36))/36, 0)</f>
        <v>2262</v>
      </c>
      <c r="N18" s="9">
        <f>ROUNDUP(((C15-F18) + ((C15-F18)*D15*48))/48, 0)</f>
        <v>1895</v>
      </c>
    </row>
    <row r="19" spans="1:14" x14ac:dyDescent="0.2">
      <c r="A19" s="34" t="s">
        <v>22</v>
      </c>
      <c r="B19" s="34" t="s">
        <v>23</v>
      </c>
      <c r="C19" s="31">
        <v>53200</v>
      </c>
      <c r="D19" s="32">
        <v>1.4999999999999999E-2</v>
      </c>
      <c r="E19" s="3">
        <v>0</v>
      </c>
      <c r="F19" s="4">
        <v>2000</v>
      </c>
      <c r="G19" s="31">
        <v>1000</v>
      </c>
      <c r="H19" s="5">
        <f>F19+G19</f>
        <v>3000</v>
      </c>
      <c r="I19" s="5">
        <f>ROUNDUP(((C19-F19) + ((C19-F19)*D19*12))/12, 0)</f>
        <v>5035</v>
      </c>
      <c r="J19" s="5">
        <f>ROUNDUP(((C19-F19) + ((C19-F19)*D19*18))/18, 0)</f>
        <v>3613</v>
      </c>
      <c r="K19" s="5">
        <f>ROUNDUP(((C19-F19) + ((C19-F19)*D19*24))/24, 0)</f>
        <v>2902</v>
      </c>
      <c r="L19" s="5">
        <f>ROUNDUP(((C19-F19) + ((C19-F19)*D19*30))/30, 0)</f>
        <v>2475</v>
      </c>
      <c r="M19" s="5">
        <f>ROUNDUP(((C19-F19) + ((C19-F19)*D19*36))/36, 0)</f>
        <v>2191</v>
      </c>
      <c r="N19" s="6">
        <f>ROUNDUP(((C19-F19) + ((C19-F19)*D19*48))/48, 0)</f>
        <v>1835</v>
      </c>
    </row>
    <row r="20" spans="1:14" x14ac:dyDescent="0.2">
      <c r="A20" s="29"/>
      <c r="B20" s="29"/>
      <c r="C20" s="29"/>
      <c r="D20" s="29"/>
      <c r="E20" s="8">
        <v>0.05</v>
      </c>
      <c r="F20" s="9">
        <f>ROUND(C19*E20, 0)</f>
        <v>2660</v>
      </c>
      <c r="G20" s="29"/>
      <c r="H20" s="9">
        <f>F20+G19</f>
        <v>3660</v>
      </c>
      <c r="I20" s="9">
        <f>ROUNDUP(((C19-F20) + ((C19-F20)*D19*12))/12, 0)</f>
        <v>4970</v>
      </c>
      <c r="J20" s="9">
        <f>ROUNDUP(((C19-F20) + ((C19-F20)*D19*18))/18, 0)</f>
        <v>3566</v>
      </c>
      <c r="K20" s="9">
        <f>ROUNDUP(((C19-F20) + ((C19-F20)*D19*24))/24, 0)</f>
        <v>2864</v>
      </c>
      <c r="L20" s="9">
        <f>ROUNDUP(((C19-F20) + ((C19-F20)*D19*30))/30, 0)</f>
        <v>2443</v>
      </c>
      <c r="M20" s="9">
        <f>ROUNDUP(((C19-F20) + ((C19-F20)*D19*36))/36, 0)</f>
        <v>2162</v>
      </c>
      <c r="N20" s="9">
        <f>ROUNDUP(((C19-F20) + ((C19-F20)*D19*48))/48, 0)</f>
        <v>1812</v>
      </c>
    </row>
    <row r="21" spans="1:14" x14ac:dyDescent="0.2">
      <c r="A21" s="29"/>
      <c r="B21" s="29"/>
      <c r="C21" s="29"/>
      <c r="D21" s="29"/>
      <c r="E21" s="8">
        <v>0.1</v>
      </c>
      <c r="F21" s="9">
        <f>ROUND(C19*E21, 0)</f>
        <v>5320</v>
      </c>
      <c r="G21" s="29"/>
      <c r="H21" s="9">
        <f>F21+G19</f>
        <v>6320</v>
      </c>
      <c r="I21" s="9">
        <f>ROUNDUP(((C19-F21) + ((C19-F21)*D19*12))/12, 0)</f>
        <v>4709</v>
      </c>
      <c r="J21" s="9">
        <f>ROUNDUP(((C19-F21) + ((C19-F21)*D19*18))/18, 0)</f>
        <v>3379</v>
      </c>
      <c r="K21" s="9">
        <f>ROUNDUP(((C19-F21) + ((C19-F21)*D19*24))/24, 0)</f>
        <v>2714</v>
      </c>
      <c r="L21" s="9">
        <f>ROUNDUP(((C19-F21) + ((C19-F21)*D19*30))/30, 0)</f>
        <v>2315</v>
      </c>
      <c r="M21" s="9">
        <f>ROUNDUP(((C19-F21) + ((C19-F21)*D19*36))/36, 0)</f>
        <v>2049</v>
      </c>
      <c r="N21" s="9">
        <f>ROUNDUP(((C19-F21) + ((C19-F21)*D19*48))/48, 0)</f>
        <v>1716</v>
      </c>
    </row>
    <row r="22" spans="1:14" x14ac:dyDescent="0.2">
      <c r="A22" s="30"/>
      <c r="B22" s="30"/>
      <c r="C22" s="30"/>
      <c r="D22" s="30"/>
      <c r="E22" s="8">
        <v>0.15</v>
      </c>
      <c r="F22" s="9">
        <f>ROUND(C19*E22, 0)</f>
        <v>7980</v>
      </c>
      <c r="G22" s="30"/>
      <c r="H22" s="9">
        <f>F22+G19</f>
        <v>8980</v>
      </c>
      <c r="I22" s="9">
        <f>ROUNDUP(((C19-F22) + ((C19-F22)*D19*12))/12, 0)</f>
        <v>4447</v>
      </c>
      <c r="J22" s="9">
        <f>ROUNDUP(((C19-F22) + ((C19-F22)*D19*18))/18, 0)</f>
        <v>3191</v>
      </c>
      <c r="K22" s="9">
        <f>ROUNDUP(((C19-F22) + ((C19-F22)*D19*24))/24, 0)</f>
        <v>2563</v>
      </c>
      <c r="L22" s="9">
        <f>ROUNDUP(((C19-F22) + ((C19-F22)*D19*30))/30, 0)</f>
        <v>2186</v>
      </c>
      <c r="M22" s="9">
        <f>ROUNDUP(((C19-F22) + ((C19-F22)*D19*36))/36, 0)</f>
        <v>1935</v>
      </c>
      <c r="N22" s="9">
        <f>ROUNDUP(((C19-F22) + ((C19-F22)*D19*48))/48, 0)</f>
        <v>1621</v>
      </c>
    </row>
    <row r="23" spans="1:14" x14ac:dyDescent="0.2">
      <c r="A23" s="34" t="s">
        <v>24</v>
      </c>
      <c r="B23" s="34" t="s">
        <v>25</v>
      </c>
      <c r="C23" s="31">
        <v>71200</v>
      </c>
      <c r="D23" s="32">
        <v>1.4E-2</v>
      </c>
      <c r="E23" s="3">
        <v>0</v>
      </c>
      <c r="F23" s="4">
        <v>3900</v>
      </c>
      <c r="G23" s="31">
        <v>1000</v>
      </c>
      <c r="H23" s="5">
        <f>F23+G23</f>
        <v>4900</v>
      </c>
      <c r="I23" s="5">
        <f>ROUNDUP(((C23-F23) + ((C23-F23)*D23*12))/12, 0)</f>
        <v>6551</v>
      </c>
      <c r="J23" s="5">
        <f>ROUNDUP(((C23-F23) + ((C23-F23)*D23*18))/18, 0)</f>
        <v>4682</v>
      </c>
      <c r="K23" s="5">
        <f>ROUNDUP(((C23-F23) + ((C23-F23)*D23*24))/24, 0)</f>
        <v>3747</v>
      </c>
      <c r="L23" s="5">
        <f>ROUNDUP(((C23-F23) + ((C23-F23)*D23*30))/30, 0)</f>
        <v>3186</v>
      </c>
      <c r="M23" s="5">
        <f>ROUNDUP(((C23-F23) + ((C23-F23)*D23*36))/36, 0)</f>
        <v>2812</v>
      </c>
      <c r="N23" s="6">
        <f>ROUNDUP(((C23-F23) + ((C23-F23)*D23*48))/48, 0)</f>
        <v>2345</v>
      </c>
    </row>
    <row r="24" spans="1:14" x14ac:dyDescent="0.2">
      <c r="A24" s="29"/>
      <c r="B24" s="29"/>
      <c r="C24" s="29"/>
      <c r="D24" s="29"/>
      <c r="E24" s="8">
        <v>0.05</v>
      </c>
      <c r="F24" s="9">
        <f>ROUND(C23*E24, 0)</f>
        <v>3560</v>
      </c>
      <c r="G24" s="29"/>
      <c r="H24" s="9">
        <f>F24+G23</f>
        <v>4560</v>
      </c>
      <c r="I24" s="9">
        <f>ROUNDUP(((C23-F24) + ((C23-F24)*D23*12))/12, 0)</f>
        <v>6584</v>
      </c>
      <c r="J24" s="9">
        <f>ROUNDUP(((C23-F24) + ((C23-F24)*D23*18))/18, 0)</f>
        <v>4705</v>
      </c>
      <c r="K24" s="9">
        <f>ROUNDUP(((C23-F24) + ((C23-F24)*D23*24))/24, 0)</f>
        <v>3766</v>
      </c>
      <c r="L24" s="9">
        <f>ROUNDUP(((C23-F24) + ((C23-F24)*D23*30))/30, 0)</f>
        <v>3202</v>
      </c>
      <c r="M24" s="9">
        <f>ROUNDUP(((C23-F24) + ((C23-F24)*D23*36))/36, 0)</f>
        <v>2826</v>
      </c>
      <c r="N24" s="9">
        <f>ROUNDUP(((C23-F24) + ((C23-F24)*D23*48))/48, 0)</f>
        <v>2357</v>
      </c>
    </row>
    <row r="25" spans="1:14" x14ac:dyDescent="0.2">
      <c r="A25" s="29"/>
      <c r="B25" s="29"/>
      <c r="C25" s="29"/>
      <c r="D25" s="29"/>
      <c r="E25" s="8">
        <v>0.1</v>
      </c>
      <c r="F25" s="9">
        <f>ROUND(C23*E25, 0)</f>
        <v>7120</v>
      </c>
      <c r="G25" s="29"/>
      <c r="H25" s="9">
        <f>F25+G23</f>
        <v>8120</v>
      </c>
      <c r="I25" s="9">
        <f>ROUNDUP(((C23-F25) + ((C23-F25)*D23*12))/12, 0)</f>
        <v>6238</v>
      </c>
      <c r="J25" s="9">
        <f>ROUNDUP(((C23-F25) + ((C23-F25)*D23*18))/18, 0)</f>
        <v>4458</v>
      </c>
      <c r="K25" s="9">
        <f>ROUNDUP(((C23-F25) + ((C23-F25)*D23*24))/24, 0)</f>
        <v>3568</v>
      </c>
      <c r="L25" s="9">
        <f>ROUNDUP(((C23-F25) + ((C23-F25)*D23*30))/30, 0)</f>
        <v>3034</v>
      </c>
      <c r="M25" s="9">
        <f>ROUNDUP(((C23-F25) + ((C23-F25)*D23*36))/36, 0)</f>
        <v>2678</v>
      </c>
      <c r="N25" s="9">
        <f>ROUNDUP(((C23-F25) + ((C23-F25)*D23*48))/48, 0)</f>
        <v>2233</v>
      </c>
    </row>
    <row r="26" spans="1:14" x14ac:dyDescent="0.2">
      <c r="A26" s="30"/>
      <c r="B26" s="30"/>
      <c r="C26" s="30"/>
      <c r="D26" s="30"/>
      <c r="E26" s="8">
        <v>0.15</v>
      </c>
      <c r="F26" s="9">
        <f>ROUND(C23*E26, 0)</f>
        <v>10680</v>
      </c>
      <c r="G26" s="30"/>
      <c r="H26" s="9">
        <f>F26+G23</f>
        <v>11680</v>
      </c>
      <c r="I26" s="9">
        <f>ROUNDUP(((C23-F26) + ((C23-F26)*D23*12))/12, 0)</f>
        <v>5891</v>
      </c>
      <c r="J26" s="9">
        <f>ROUNDUP(((C23-F26) + ((C23-F26)*D23*18))/18, 0)</f>
        <v>4210</v>
      </c>
      <c r="K26" s="9">
        <f>ROUNDUP(((C23-F26) + ((C23-F26)*D23*24))/24, 0)</f>
        <v>3369</v>
      </c>
      <c r="L26" s="9">
        <f>ROUNDUP(((C23-F26) + ((C23-F26)*D23*30))/30, 0)</f>
        <v>2865</v>
      </c>
      <c r="M26" s="9">
        <f>ROUNDUP(((C23-F26) + ((C23-F26)*D23*36))/36, 0)</f>
        <v>2529</v>
      </c>
      <c r="N26" s="9">
        <f>ROUNDUP(((C23-F26) + ((C23-F26)*D23*48))/48, 0)</f>
        <v>2109</v>
      </c>
    </row>
    <row r="27" spans="1:14" x14ac:dyDescent="0.2">
      <c r="A27" s="34" t="s">
        <v>24</v>
      </c>
      <c r="B27" s="34" t="s">
        <v>26</v>
      </c>
      <c r="C27" s="31">
        <v>66600</v>
      </c>
      <c r="D27" s="32">
        <v>1.4E-2</v>
      </c>
      <c r="E27" s="3">
        <v>0</v>
      </c>
      <c r="F27" s="4">
        <v>2900</v>
      </c>
      <c r="G27" s="31">
        <v>1000</v>
      </c>
      <c r="H27" s="5">
        <f>F27+G27</f>
        <v>3900</v>
      </c>
      <c r="I27" s="5">
        <f>ROUNDUP(((C27-F27) + ((C27-F27)*D27*12))/12, 0)</f>
        <v>6201</v>
      </c>
      <c r="J27" s="5">
        <f>ROUNDUP(((C27-F27) + ((C27-F27)*D27*18))/18, 0)</f>
        <v>4431</v>
      </c>
      <c r="K27" s="5">
        <f>ROUNDUP(((C27-F27) + ((C27-F27)*D27*24))/24, 0)</f>
        <v>3546</v>
      </c>
      <c r="L27" s="5">
        <f>ROUNDUP(((C27-F27) + ((C27-F27)*D27*30))/30, 0)</f>
        <v>3016</v>
      </c>
      <c r="M27" s="5">
        <f>ROUNDUP(((C27-F27) + ((C27-F27)*D27*36))/36, 0)</f>
        <v>2662</v>
      </c>
      <c r="N27" s="6">
        <f>ROUNDUP(((C27-F27) + ((C27-F27)*D27*48))/48, 0)</f>
        <v>2219</v>
      </c>
    </row>
    <row r="28" spans="1:14" x14ac:dyDescent="0.2">
      <c r="A28" s="29"/>
      <c r="B28" s="29"/>
      <c r="C28" s="29"/>
      <c r="D28" s="29"/>
      <c r="E28" s="8">
        <v>0.05</v>
      </c>
      <c r="F28" s="9">
        <f>ROUND(C27*E28, 0)</f>
        <v>3330</v>
      </c>
      <c r="G28" s="29"/>
      <c r="H28" s="9">
        <f>F28+G27</f>
        <v>4330</v>
      </c>
      <c r="I28" s="9">
        <f>ROUNDUP(((C27-F28) + ((C27-F28)*D27*12))/12, 0)</f>
        <v>6159</v>
      </c>
      <c r="J28" s="9">
        <f>ROUNDUP(((C27-F28) + ((C27-F28)*D27*18))/18, 0)</f>
        <v>4401</v>
      </c>
      <c r="K28" s="9">
        <f>ROUNDUP(((C27-F28) + ((C27-F28)*D27*24))/24, 0)</f>
        <v>3523</v>
      </c>
      <c r="L28" s="9">
        <f>ROUNDUP(((C27-F28) + ((C27-F28)*D27*30))/30, 0)</f>
        <v>2995</v>
      </c>
      <c r="M28" s="9">
        <f>ROUNDUP(((C27-F28) + ((C27-F28)*D27*36))/36, 0)</f>
        <v>2644</v>
      </c>
      <c r="N28" s="9">
        <f>ROUNDUP(((C27-F28) + ((C27-F28)*D27*48))/48, 0)</f>
        <v>2204</v>
      </c>
    </row>
    <row r="29" spans="1:14" x14ac:dyDescent="0.2">
      <c r="A29" s="29"/>
      <c r="B29" s="29"/>
      <c r="C29" s="29"/>
      <c r="D29" s="29"/>
      <c r="E29" s="8">
        <v>0.1</v>
      </c>
      <c r="F29" s="9">
        <f>ROUND(C27*E29, 0)</f>
        <v>6660</v>
      </c>
      <c r="G29" s="29"/>
      <c r="H29" s="9">
        <f>F29+G27</f>
        <v>7660</v>
      </c>
      <c r="I29" s="9">
        <f>ROUNDUP(((C27-F29) + ((C27-F29)*D27*12))/12, 0)</f>
        <v>5835</v>
      </c>
      <c r="J29" s="9">
        <f>ROUNDUP(((C27-F29) + ((C27-F29)*D27*18))/18, 0)</f>
        <v>4170</v>
      </c>
      <c r="K29" s="9">
        <f>ROUNDUP(((C27-F29) + ((C27-F29)*D27*24))/24, 0)</f>
        <v>3337</v>
      </c>
      <c r="L29" s="9">
        <f>ROUNDUP(((C27-F29) + ((C27-F29)*D27*30))/30, 0)</f>
        <v>2838</v>
      </c>
      <c r="M29" s="9">
        <f>ROUNDUP(((C27-F29) + ((C27-F29)*D27*36))/36, 0)</f>
        <v>2505</v>
      </c>
      <c r="N29" s="9">
        <f>ROUNDUP(((C27-F29) + ((C27-F29)*D27*48))/48, 0)</f>
        <v>2088</v>
      </c>
    </row>
    <row r="30" spans="1:14" x14ac:dyDescent="0.2">
      <c r="A30" s="30"/>
      <c r="B30" s="30"/>
      <c r="C30" s="30"/>
      <c r="D30" s="30"/>
      <c r="E30" s="8">
        <v>0.15</v>
      </c>
      <c r="F30" s="9">
        <f>ROUND(C27*E30, 0)</f>
        <v>9990</v>
      </c>
      <c r="G30" s="30"/>
      <c r="H30" s="9">
        <f>F30+G27</f>
        <v>10990</v>
      </c>
      <c r="I30" s="9">
        <f>ROUNDUP(((C27-F30) + ((C27-F30)*D27*12))/12, 0)</f>
        <v>5511</v>
      </c>
      <c r="J30" s="9">
        <f>ROUNDUP(((C27-F30) + ((C27-F30)*D27*18))/18, 0)</f>
        <v>3938</v>
      </c>
      <c r="K30" s="9">
        <f>ROUNDUP(((C27-F30) + ((C27-F30)*D27*24))/24, 0)</f>
        <v>3152</v>
      </c>
      <c r="L30" s="9">
        <f>ROUNDUP(((C27-F30) + ((C27-F30)*D27*30))/30, 0)</f>
        <v>2680</v>
      </c>
      <c r="M30" s="9">
        <f>ROUNDUP(((C27-F30) + ((C27-F30)*D27*36))/36, 0)</f>
        <v>2366</v>
      </c>
      <c r="N30" s="9">
        <f>ROUNDUP(((C27-F30) + ((C27-F30)*D27*48))/48, 0)</f>
        <v>1972</v>
      </c>
    </row>
    <row r="31" spans="1:14" x14ac:dyDescent="0.2">
      <c r="A31" s="34" t="s">
        <v>27</v>
      </c>
      <c r="B31" s="34" t="s">
        <v>28</v>
      </c>
      <c r="C31" s="31">
        <v>66600</v>
      </c>
      <c r="D31" s="32">
        <v>1.4999999999999999E-2</v>
      </c>
      <c r="E31" s="3">
        <v>0</v>
      </c>
      <c r="F31" s="4">
        <v>4900</v>
      </c>
      <c r="G31" s="31">
        <v>1000</v>
      </c>
      <c r="H31" s="5">
        <f>F31+G31</f>
        <v>5900</v>
      </c>
      <c r="I31" s="5">
        <f>ROUNDUP(((C31-F31) + ((C31-F31)*D31*12))/12, 0)</f>
        <v>6068</v>
      </c>
      <c r="J31" s="5">
        <f>ROUNDUP(((C31-F31) + ((C31-F31)*D31*18))/18, 0)</f>
        <v>4354</v>
      </c>
      <c r="K31" s="5">
        <f>ROUNDUP(((C31-F31) + ((C31-F31)*D31*24))/24, 0)</f>
        <v>3497</v>
      </c>
      <c r="L31" s="5">
        <f>ROUNDUP(((C31-F31) + ((C31-F31)*D31*30))/30, 0)</f>
        <v>2983</v>
      </c>
      <c r="M31" s="5">
        <f>ROUNDUP(((C31-F31) + ((C31-F31)*D31*36))/36, 0)</f>
        <v>2640</v>
      </c>
      <c r="N31" s="6">
        <f>ROUNDUP(((C31-F31) + ((C31-F31)*D31*48))/48, 0)</f>
        <v>2211</v>
      </c>
    </row>
    <row r="32" spans="1:14" x14ac:dyDescent="0.2">
      <c r="A32" s="29"/>
      <c r="B32" s="29"/>
      <c r="C32" s="29"/>
      <c r="D32" s="29"/>
      <c r="E32" s="8">
        <v>0.05</v>
      </c>
      <c r="F32" s="9">
        <f>ROUND(C31*E32, 0)</f>
        <v>3330</v>
      </c>
      <c r="G32" s="29"/>
      <c r="H32" s="9">
        <f>F32+G31</f>
        <v>4330</v>
      </c>
      <c r="I32" s="9">
        <f>ROUNDUP(((C31-F32) + ((C31-F32)*D31*12))/12, 0)</f>
        <v>6222</v>
      </c>
      <c r="J32" s="9">
        <f>ROUNDUP(((C31-F32) + ((C31-F32)*D31*18))/18, 0)</f>
        <v>4465</v>
      </c>
      <c r="K32" s="9">
        <f>ROUNDUP(((C31-F32) + ((C31-F32)*D31*24))/24, 0)</f>
        <v>3586</v>
      </c>
      <c r="L32" s="9">
        <f>ROUNDUP(((C31-F32) + ((C31-F32)*D31*30))/30, 0)</f>
        <v>3059</v>
      </c>
      <c r="M32" s="9">
        <f>ROUNDUP(((C31-F32) + ((C31-F32)*D31*36))/36, 0)</f>
        <v>2707</v>
      </c>
      <c r="N32" s="9">
        <f>ROUNDUP(((C31-F32) + ((C31-F32)*D31*48))/48, 0)</f>
        <v>2268</v>
      </c>
    </row>
    <row r="33" spans="1:14" x14ac:dyDescent="0.2">
      <c r="A33" s="29"/>
      <c r="B33" s="29"/>
      <c r="C33" s="29"/>
      <c r="D33" s="29"/>
      <c r="E33" s="8">
        <v>0.1</v>
      </c>
      <c r="F33" s="9">
        <f>ROUND(C31*E33, 0)</f>
        <v>6660</v>
      </c>
      <c r="G33" s="29"/>
      <c r="H33" s="9">
        <f>F33+G31</f>
        <v>7660</v>
      </c>
      <c r="I33" s="9">
        <f>ROUNDUP(((C31-F33) + ((C31-F33)*D31*12))/12, 0)</f>
        <v>5895</v>
      </c>
      <c r="J33" s="9">
        <f>ROUNDUP(((C31-F33) + ((C31-F33)*D31*18))/18, 0)</f>
        <v>4230</v>
      </c>
      <c r="K33" s="9">
        <f>ROUNDUP(((C31-F33) + ((C31-F33)*D31*24))/24, 0)</f>
        <v>3397</v>
      </c>
      <c r="L33" s="9">
        <f>ROUNDUP(((C31-F33) + ((C31-F33)*D31*30))/30, 0)</f>
        <v>2898</v>
      </c>
      <c r="M33" s="9">
        <f>ROUNDUP(((C31-F33) + ((C31-F33)*D31*36))/36, 0)</f>
        <v>2565</v>
      </c>
      <c r="N33" s="9">
        <f>ROUNDUP(((C31-F33) + ((C31-F33)*D31*48))/48, 0)</f>
        <v>2148</v>
      </c>
    </row>
    <row r="34" spans="1:14" x14ac:dyDescent="0.2">
      <c r="A34" s="30"/>
      <c r="B34" s="30"/>
      <c r="C34" s="30"/>
      <c r="D34" s="30"/>
      <c r="E34" s="8">
        <v>0.15</v>
      </c>
      <c r="F34" s="9">
        <f>ROUND(C31*E34, 0)</f>
        <v>9990</v>
      </c>
      <c r="G34" s="30"/>
      <c r="H34" s="9">
        <f>F34+G31</f>
        <v>10990</v>
      </c>
      <c r="I34" s="9">
        <f>ROUNDUP(((C31-F34) + ((C31-F34)*D31*12))/12, 0)</f>
        <v>5567</v>
      </c>
      <c r="J34" s="9">
        <f>ROUNDUP(((C31-F34) + ((C31-F34)*D31*18))/18, 0)</f>
        <v>3995</v>
      </c>
      <c r="K34" s="9">
        <f>ROUNDUP(((C31-F34) + ((C31-F34)*D31*24))/24, 0)</f>
        <v>3208</v>
      </c>
      <c r="L34" s="9">
        <f>ROUNDUP(((C31-F34) + ((C31-F34)*D31*30))/30, 0)</f>
        <v>2737</v>
      </c>
      <c r="M34" s="9">
        <f>ROUNDUP(((C31-F34) + ((C31-F34)*D31*36))/36, 0)</f>
        <v>2422</v>
      </c>
      <c r="N34" s="9">
        <f>ROUNDUP(((C31-F34) + ((C31-F34)*D31*48))/48, 0)</f>
        <v>2029</v>
      </c>
    </row>
    <row r="35" spans="1:14" x14ac:dyDescent="0.2">
      <c r="A35" s="34" t="s">
        <v>29</v>
      </c>
      <c r="B35" s="34" t="s">
        <v>30</v>
      </c>
      <c r="C35" s="31">
        <v>71200</v>
      </c>
      <c r="D35" s="32">
        <v>1.4999999999999999E-2</v>
      </c>
      <c r="E35" s="3">
        <v>0</v>
      </c>
      <c r="F35" s="4">
        <v>5900</v>
      </c>
      <c r="G35" s="31">
        <v>1000</v>
      </c>
      <c r="H35" s="5">
        <f>F35+G35</f>
        <v>6900</v>
      </c>
      <c r="I35" s="5">
        <f>ROUNDUP(((C35-F35) + ((C35-F35)*D35*12))/12, 0)</f>
        <v>6422</v>
      </c>
      <c r="J35" s="5">
        <f>ROUNDUP(((C35-F35) + ((C35-F35)*D35*18))/18, 0)</f>
        <v>4608</v>
      </c>
      <c r="K35" s="5">
        <f>ROUNDUP(((C35-F35) + ((C35-F35)*D35*24))/24, 0)</f>
        <v>3701</v>
      </c>
      <c r="L35" s="5">
        <f>ROUNDUP(((C35-F35) + ((C35-F35)*D35*30))/30, 0)</f>
        <v>3157</v>
      </c>
      <c r="M35" s="5">
        <f>ROUNDUP(((C35-F35) + ((C35-F35)*D35*36))/36, 0)</f>
        <v>2794</v>
      </c>
      <c r="N35" s="6">
        <f>ROUNDUP(((C35-F35) + ((C35-F35)*D35*48))/48, 0)</f>
        <v>2340</v>
      </c>
    </row>
    <row r="36" spans="1:14" x14ac:dyDescent="0.2">
      <c r="A36" s="29"/>
      <c r="B36" s="29"/>
      <c r="C36" s="29"/>
      <c r="D36" s="29"/>
      <c r="E36" s="8">
        <v>0.05</v>
      </c>
      <c r="F36" s="9">
        <f>ROUND(C35*E36, 0)</f>
        <v>3560</v>
      </c>
      <c r="G36" s="29"/>
      <c r="H36" s="9">
        <f>F36+G35</f>
        <v>4560</v>
      </c>
      <c r="I36" s="9">
        <f>ROUNDUP(((C35-F36) + ((C35-F36)*D35*12))/12, 0)</f>
        <v>6652</v>
      </c>
      <c r="J36" s="9">
        <f>ROUNDUP(((C35-F36) + ((C35-F36)*D35*18))/18, 0)</f>
        <v>4773</v>
      </c>
      <c r="K36" s="9">
        <f>ROUNDUP(((C35-F36) + ((C35-F36)*D35*24))/24, 0)</f>
        <v>3833</v>
      </c>
      <c r="L36" s="9">
        <f>ROUNDUP(((C35-F36) + ((C35-F36)*D35*30))/30, 0)</f>
        <v>3270</v>
      </c>
      <c r="M36" s="9">
        <f>ROUNDUP(((C35-F36) + ((C35-F36)*D35*36))/36, 0)</f>
        <v>2894</v>
      </c>
      <c r="N36" s="9">
        <f>ROUNDUP(((C35-F36) + ((C35-F36)*D35*48))/48, 0)</f>
        <v>2424</v>
      </c>
    </row>
    <row r="37" spans="1:14" x14ac:dyDescent="0.2">
      <c r="A37" s="29"/>
      <c r="B37" s="29"/>
      <c r="C37" s="29"/>
      <c r="D37" s="29"/>
      <c r="E37" s="8">
        <v>0.1</v>
      </c>
      <c r="F37" s="9">
        <f>ROUND(C35*E37, 0)</f>
        <v>7120</v>
      </c>
      <c r="G37" s="29"/>
      <c r="H37" s="9">
        <f>F37+G35</f>
        <v>8120</v>
      </c>
      <c r="I37" s="9">
        <f>ROUNDUP(((C35-F37) + ((C35-F37)*D35*12))/12, 0)</f>
        <v>6302</v>
      </c>
      <c r="J37" s="9">
        <f>ROUNDUP(((C35-F37) + ((C35-F37)*D35*18))/18, 0)</f>
        <v>4522</v>
      </c>
      <c r="K37" s="9">
        <f>ROUNDUP(((C35-F37) + ((C35-F37)*D35*24))/24, 0)</f>
        <v>3632</v>
      </c>
      <c r="L37" s="9">
        <f>ROUNDUP(((C35-F37) + ((C35-F37)*D35*30))/30, 0)</f>
        <v>3098</v>
      </c>
      <c r="M37" s="9">
        <f>ROUNDUP(((C35-F37) + ((C35-F37)*D35*36))/36, 0)</f>
        <v>2742</v>
      </c>
      <c r="N37" s="9">
        <f>ROUNDUP(((C35-F37) + ((C35-F37)*D35*48))/48, 0)</f>
        <v>2297</v>
      </c>
    </row>
    <row r="38" spans="1:14" x14ac:dyDescent="0.2">
      <c r="A38" s="30"/>
      <c r="B38" s="30"/>
      <c r="C38" s="30"/>
      <c r="D38" s="30"/>
      <c r="E38" s="8">
        <v>0.15</v>
      </c>
      <c r="F38" s="9">
        <f>ROUND(C35*E38, 0)</f>
        <v>10680</v>
      </c>
      <c r="G38" s="30"/>
      <c r="H38" s="9">
        <f>F38+G35</f>
        <v>11680</v>
      </c>
      <c r="I38" s="9">
        <f>ROUNDUP(((C35-F38) + ((C35-F38)*D35*12))/12, 0)</f>
        <v>5952</v>
      </c>
      <c r="J38" s="9">
        <f>ROUNDUP(((C35-F38) + ((C35-F38)*D35*18))/18, 0)</f>
        <v>4271</v>
      </c>
      <c r="K38" s="9">
        <f>ROUNDUP(((C35-F38) + ((C35-F38)*D35*24))/24, 0)</f>
        <v>3430</v>
      </c>
      <c r="L38" s="9">
        <f>ROUNDUP(((C35-F38) + ((C35-F38)*D35*30))/30, 0)</f>
        <v>2926</v>
      </c>
      <c r="M38" s="9">
        <f>ROUNDUP(((C35-F38) + ((C35-F38)*D35*36))/36, 0)</f>
        <v>2589</v>
      </c>
      <c r="N38" s="9">
        <f>ROUNDUP(((C35-F38) + ((C35-F38)*D35*48))/48, 0)</f>
        <v>2169</v>
      </c>
    </row>
    <row r="39" spans="1:14" x14ac:dyDescent="0.2">
      <c r="A39" s="34" t="s">
        <v>31</v>
      </c>
      <c r="B39" s="34" t="s">
        <v>32</v>
      </c>
      <c r="C39" s="31">
        <v>76200</v>
      </c>
      <c r="D39" s="32">
        <v>1.4999999999999999E-2</v>
      </c>
      <c r="E39" s="3">
        <v>0</v>
      </c>
      <c r="F39" s="4">
        <v>6900</v>
      </c>
      <c r="G39" s="31">
        <v>1000</v>
      </c>
      <c r="H39" s="5">
        <f>F39+G39</f>
        <v>7900</v>
      </c>
      <c r="I39" s="5">
        <f>ROUNDUP(((C39-F39) + ((C39-F39)*D39*12))/12, 0)</f>
        <v>6815</v>
      </c>
      <c r="J39" s="5">
        <f>ROUNDUP(((C39-F39) + ((C39-F39)*D39*18))/18, 0)</f>
        <v>4890</v>
      </c>
      <c r="K39" s="5">
        <f>ROUNDUP(((C39-F39) + ((C39-F39)*D39*24))/24, 0)</f>
        <v>3927</v>
      </c>
      <c r="L39" s="5">
        <f>ROUNDUP(((C39-F39) + ((C39-F39)*D39*30))/30, 0)</f>
        <v>3350</v>
      </c>
      <c r="M39" s="5">
        <f>ROUNDUP(((C39-F39) + ((C39-F39)*D39*36))/36, 0)</f>
        <v>2965</v>
      </c>
      <c r="N39" s="6">
        <f>ROUNDUP(((C39-F39) + ((C39-F39)*D39*48))/48, 0)</f>
        <v>2484</v>
      </c>
    </row>
    <row r="40" spans="1:14" x14ac:dyDescent="0.2">
      <c r="A40" s="29"/>
      <c r="B40" s="29"/>
      <c r="C40" s="29"/>
      <c r="D40" s="29"/>
      <c r="E40" s="8">
        <v>0.05</v>
      </c>
      <c r="F40" s="9">
        <f>ROUND(C39*E40, 0)</f>
        <v>3810</v>
      </c>
      <c r="G40" s="29"/>
      <c r="H40" s="9">
        <f>F40+G39</f>
        <v>4810</v>
      </c>
      <c r="I40" s="9">
        <f>ROUNDUP(((C39-F40) + ((C39-F40)*D39*12))/12, 0)</f>
        <v>7119</v>
      </c>
      <c r="J40" s="9">
        <f>ROUNDUP(((C39-F40) + ((C39-F40)*D39*18))/18, 0)</f>
        <v>5108</v>
      </c>
      <c r="K40" s="9">
        <f>ROUNDUP(((C39-F40) + ((C39-F40)*D39*24))/24, 0)</f>
        <v>4103</v>
      </c>
      <c r="L40" s="9">
        <f>ROUNDUP(((C39-F40) + ((C39-F40)*D39*30))/30, 0)</f>
        <v>3499</v>
      </c>
      <c r="M40" s="9">
        <f>ROUNDUP(((C39-F40) + ((C39-F40)*D39*36))/36, 0)</f>
        <v>3097</v>
      </c>
      <c r="N40" s="9">
        <f>ROUNDUP(((C39-F40) + ((C39-F40)*D39*48))/48, 0)</f>
        <v>2594</v>
      </c>
    </row>
    <row r="41" spans="1:14" x14ac:dyDescent="0.2">
      <c r="A41" s="29"/>
      <c r="B41" s="29"/>
      <c r="C41" s="29"/>
      <c r="D41" s="29"/>
      <c r="E41" s="8">
        <v>0.1</v>
      </c>
      <c r="F41" s="9">
        <f>ROUND(C39*E41, 0)</f>
        <v>7620</v>
      </c>
      <c r="G41" s="29"/>
      <c r="H41" s="9">
        <f>F41+G39</f>
        <v>8620</v>
      </c>
      <c r="I41" s="9">
        <f>ROUNDUP(((C39-F41) + ((C39-F41)*D39*12))/12, 0)</f>
        <v>6744</v>
      </c>
      <c r="J41" s="9">
        <f>ROUNDUP(((C39-F41) + ((C39-F41)*D39*18))/18, 0)</f>
        <v>4839</v>
      </c>
      <c r="K41" s="9">
        <f>ROUNDUP(((C39-F41) + ((C39-F41)*D39*24))/24, 0)</f>
        <v>3887</v>
      </c>
      <c r="L41" s="9">
        <f>ROUNDUP(((C39-F41) + ((C39-F41)*D39*30))/30, 0)</f>
        <v>3315</v>
      </c>
      <c r="M41" s="9">
        <f>ROUNDUP(((C39-F41) + ((C39-F41)*D39*36))/36, 0)</f>
        <v>2934</v>
      </c>
      <c r="N41" s="9">
        <f>ROUNDUP(((C39-F41) + ((C39-F41)*D39*48))/48, 0)</f>
        <v>2458</v>
      </c>
    </row>
    <row r="42" spans="1:14" x14ac:dyDescent="0.2">
      <c r="A42" s="30"/>
      <c r="B42" s="30"/>
      <c r="C42" s="30"/>
      <c r="D42" s="30"/>
      <c r="E42" s="8">
        <v>0.15</v>
      </c>
      <c r="F42" s="9">
        <v>25000</v>
      </c>
      <c r="G42" s="30"/>
      <c r="H42" s="9">
        <f>F42+G39</f>
        <v>26000</v>
      </c>
      <c r="I42" s="9">
        <f>ROUNDUP(((C39-F42) + ((C39-F42)*D39*12))/12, 0)</f>
        <v>5035</v>
      </c>
      <c r="J42" s="9">
        <f>ROUNDUP(((C39-F42) + ((C39-F42)*D39*18))/18, 0)</f>
        <v>3613</v>
      </c>
      <c r="K42" s="9">
        <f>ROUNDUP(((C39-F42) + ((C39-F42)*D39*24))/24, 0)</f>
        <v>2902</v>
      </c>
      <c r="L42" s="9">
        <f>ROUNDUP(((C39-F42) + ((C39-F42)*D39*30))/30, 0)</f>
        <v>2475</v>
      </c>
      <c r="M42" s="9">
        <f>ROUNDUP(((C39-F42) + ((C39-F42)*D39*36))/36, 0)</f>
        <v>2191</v>
      </c>
      <c r="N42" s="9">
        <f>ROUNDUP(((C39-F42) + ((C39-F42)*D39*48))/48, 0)</f>
        <v>1835</v>
      </c>
    </row>
    <row r="43" spans="1:14" x14ac:dyDescent="0.2">
      <c r="A43" s="34" t="s">
        <v>33</v>
      </c>
      <c r="B43" s="34" t="s">
        <v>34</v>
      </c>
      <c r="C43" s="31">
        <v>100200</v>
      </c>
      <c r="D43" s="32">
        <v>1.29E-2</v>
      </c>
      <c r="E43" s="3">
        <v>0</v>
      </c>
      <c r="F43" s="4">
        <v>7900</v>
      </c>
      <c r="G43" s="31">
        <v>1000</v>
      </c>
      <c r="H43" s="5">
        <f>F43+G43</f>
        <v>8900</v>
      </c>
      <c r="I43" s="5">
        <f>ROUNDUP(((C43-F43) + ((C43-F43)*D43*12))/12, 0)</f>
        <v>8883</v>
      </c>
      <c r="J43" s="5">
        <f>ROUNDUP(((C43-F43) + ((C43-F43)*D43*18))/18, 0)</f>
        <v>6319</v>
      </c>
      <c r="K43" s="5">
        <f>ROUNDUP(((C43-F43) + ((C43-F43)*D43*24))/24, 0)</f>
        <v>5037</v>
      </c>
      <c r="L43" s="5">
        <f>ROUNDUP(((C43-F43) + ((C43-F43)*D43*30))/30, 0)</f>
        <v>4268</v>
      </c>
      <c r="M43" s="5">
        <f>ROUNDUP(((C43-F43) + ((C43-F43)*D43*36))/36, 0)</f>
        <v>3755</v>
      </c>
      <c r="N43" s="6">
        <f>ROUNDUP(((C43-F43) + ((C43-F43)*D43*48))/48, 0)</f>
        <v>3114</v>
      </c>
    </row>
    <row r="44" spans="1:14" x14ac:dyDescent="0.2">
      <c r="A44" s="29"/>
      <c r="B44" s="29"/>
      <c r="C44" s="29"/>
      <c r="D44" s="29"/>
      <c r="E44" s="8">
        <v>0.05</v>
      </c>
      <c r="F44" s="9">
        <f>ROUND(C43*E44, 0)</f>
        <v>5010</v>
      </c>
      <c r="G44" s="29"/>
      <c r="H44" s="9">
        <f>F44+G43</f>
        <v>6010</v>
      </c>
      <c r="I44" s="9">
        <f>ROUNDUP(((C43-F44) + ((C43-F44)*D43*12))/12, 0)</f>
        <v>9161</v>
      </c>
      <c r="J44" s="9">
        <f>ROUNDUP(((C43-F44) + ((C43-F44)*D43*18))/18, 0)</f>
        <v>6517</v>
      </c>
      <c r="K44" s="9">
        <f>ROUNDUP(((C43-F44) + ((C43-F44)*D43*24))/24, 0)</f>
        <v>5195</v>
      </c>
      <c r="L44" s="9">
        <f>ROUNDUP(((C43-F44) + ((C43-F44)*D43*30))/30, 0)</f>
        <v>4401</v>
      </c>
      <c r="M44" s="9">
        <f>ROUNDUP(((C43-F44) + ((C43-F44)*D43*36))/36, 0)</f>
        <v>3873</v>
      </c>
      <c r="N44" s="9">
        <f>ROUNDUP(((C43-F44) + ((C43-F44)*D43*48))/48, 0)</f>
        <v>3212</v>
      </c>
    </row>
    <row r="45" spans="1:14" x14ac:dyDescent="0.2">
      <c r="A45" s="29"/>
      <c r="B45" s="29"/>
      <c r="C45" s="29"/>
      <c r="D45" s="29"/>
      <c r="E45" s="8">
        <v>0.1</v>
      </c>
      <c r="F45" s="9">
        <f>ROUND(C43*E45, 0)</f>
        <v>10020</v>
      </c>
      <c r="G45" s="29"/>
      <c r="H45" s="9">
        <f>F45+G43</f>
        <v>11020</v>
      </c>
      <c r="I45" s="9">
        <f>ROUNDUP(((C43-F45) + ((C43-F45)*D43*12))/12, 0)</f>
        <v>8679</v>
      </c>
      <c r="J45" s="9">
        <f>ROUNDUP(((C43-F45) + ((C43-F45)*D43*18))/18, 0)</f>
        <v>6174</v>
      </c>
      <c r="K45" s="9">
        <f>ROUNDUP(((C43-F45) + ((C43-F45)*D43*24))/24, 0)</f>
        <v>4921</v>
      </c>
      <c r="L45" s="9">
        <f>ROUNDUP(((C43-F45) + ((C43-F45)*D43*30))/30, 0)</f>
        <v>4170</v>
      </c>
      <c r="M45" s="9">
        <f>ROUNDUP(((C43-F45) + ((C43-F45)*D43*36))/36, 0)</f>
        <v>3669</v>
      </c>
      <c r="N45" s="9">
        <f>ROUNDUP(((C43-F45) + ((C43-F45)*D43*48))/48, 0)</f>
        <v>3043</v>
      </c>
    </row>
    <row r="46" spans="1:14" x14ac:dyDescent="0.2">
      <c r="A46" s="30"/>
      <c r="B46" s="30"/>
      <c r="C46" s="30"/>
      <c r="D46" s="30"/>
      <c r="E46" s="8">
        <v>0.15</v>
      </c>
      <c r="F46" s="9">
        <f>ROUND(C43*E46, 0)</f>
        <v>15030</v>
      </c>
      <c r="G46" s="30"/>
      <c r="H46" s="9">
        <f>F46+G43</f>
        <v>16030</v>
      </c>
      <c r="I46" s="9">
        <f>ROUNDUP(((C43-F46) + ((C43-F46)*D43*12))/12, 0)</f>
        <v>8197</v>
      </c>
      <c r="J46" s="9">
        <f>ROUNDUP(((C43-F46) + ((C43-F46)*D43*18))/18, 0)</f>
        <v>5831</v>
      </c>
      <c r="K46" s="9">
        <f>ROUNDUP(((C43-F46) + ((C43-F46)*D43*24))/24, 0)</f>
        <v>4648</v>
      </c>
      <c r="L46" s="9">
        <f>ROUNDUP(((C43-F46) + ((C43-F46)*D43*30))/30, 0)</f>
        <v>3938</v>
      </c>
      <c r="M46" s="9">
        <f>ROUNDUP(((C43-F46) + ((C43-F46)*D43*36))/36, 0)</f>
        <v>3465</v>
      </c>
      <c r="N46" s="9">
        <f>ROUNDUP(((C43-F46) + ((C43-F46)*D43*48))/48, 0)</f>
        <v>2874</v>
      </c>
    </row>
    <row r="47" spans="1:14" x14ac:dyDescent="0.2">
      <c r="A47" s="34" t="s">
        <v>35</v>
      </c>
      <c r="B47" s="34" t="s">
        <v>36</v>
      </c>
      <c r="C47" s="31">
        <v>130200</v>
      </c>
      <c r="D47" s="32">
        <v>1.29E-2</v>
      </c>
      <c r="E47" s="3">
        <v>0</v>
      </c>
      <c r="F47" s="4">
        <v>15000</v>
      </c>
      <c r="G47" s="31">
        <v>1000</v>
      </c>
      <c r="H47" s="5">
        <f>F47+G47</f>
        <v>16000</v>
      </c>
      <c r="I47" s="5">
        <f>ROUNDUP(((C47-F47) + ((C47-F47)*D47*12))/12, 0)</f>
        <v>11087</v>
      </c>
      <c r="J47" s="5">
        <f>ROUNDUP(((C47-F47) + ((C47-F47)*D47*18))/18, 0)</f>
        <v>7887</v>
      </c>
      <c r="K47" s="5">
        <f>ROUNDUP(((C47-F47) + ((C47-F47)*D47*24))/24, 0)</f>
        <v>6287</v>
      </c>
      <c r="L47" s="5">
        <f>ROUNDUP(((C47-F47) + ((C47-F47)*D47*30))/30, 0)</f>
        <v>5327</v>
      </c>
      <c r="M47" s="5">
        <f>ROUNDUP(((C47-F47) + ((C47-F47)*D47*36))/36, 0)</f>
        <v>4687</v>
      </c>
      <c r="N47" s="6">
        <f>ROUNDUP(((C47-F47) + ((C47-F47)*D47*48))/48, 0)</f>
        <v>3887</v>
      </c>
    </row>
    <row r="48" spans="1:14" x14ac:dyDescent="0.2">
      <c r="A48" s="29"/>
      <c r="B48" s="29"/>
      <c r="C48" s="29"/>
      <c r="D48" s="29"/>
      <c r="E48" s="8">
        <v>0.05</v>
      </c>
      <c r="F48" s="9">
        <f>ROUND(C47*E48, 0)</f>
        <v>6510</v>
      </c>
      <c r="G48" s="29"/>
      <c r="H48" s="9">
        <f>F48+G47</f>
        <v>7510</v>
      </c>
      <c r="I48" s="9">
        <f>ROUNDUP(((C47-F48) + ((C47-F48)*D47*12))/12, 0)</f>
        <v>11904</v>
      </c>
      <c r="J48" s="9">
        <f>ROUNDUP(((C47-F48) + ((C47-F48)*D47*18))/18, 0)</f>
        <v>8468</v>
      </c>
      <c r="K48" s="9">
        <f>ROUNDUP(((C47-F48) + ((C47-F48)*D47*24))/24, 0)</f>
        <v>6750</v>
      </c>
      <c r="L48" s="9">
        <f>ROUNDUP(((C47-F48) + ((C47-F48)*D47*30))/30, 0)</f>
        <v>5719</v>
      </c>
      <c r="M48" s="9">
        <f>ROUNDUP(((C47-F48) + ((C47-F48)*D47*36))/36, 0)</f>
        <v>5032</v>
      </c>
      <c r="N48" s="9">
        <f>ROUNDUP(((C47-F48) + ((C47-F48)*D47*48))/48, 0)</f>
        <v>4173</v>
      </c>
    </row>
    <row r="49" spans="1:14" x14ac:dyDescent="0.2">
      <c r="A49" s="29"/>
      <c r="B49" s="29"/>
      <c r="C49" s="29"/>
      <c r="D49" s="29"/>
      <c r="E49" s="8">
        <v>0.1</v>
      </c>
      <c r="F49" s="9">
        <f>ROUND(C47*E49, 0)</f>
        <v>13020</v>
      </c>
      <c r="G49" s="29"/>
      <c r="H49" s="9">
        <f>F49+G47</f>
        <v>14020</v>
      </c>
      <c r="I49" s="9">
        <f>ROUNDUP(((C47-F49) + ((C47-F49)*D47*12))/12, 0)</f>
        <v>11277</v>
      </c>
      <c r="J49" s="9">
        <f>ROUNDUP(((C47-F49) + ((C47-F49)*D47*18))/18, 0)</f>
        <v>8022</v>
      </c>
      <c r="K49" s="9">
        <f>ROUNDUP(((C47-F49) + ((C47-F49)*D47*24))/24, 0)</f>
        <v>6395</v>
      </c>
      <c r="L49" s="9">
        <f>ROUNDUP(((C47-F49) + ((C47-F49)*D47*30))/30, 0)</f>
        <v>5418</v>
      </c>
      <c r="M49" s="9">
        <f>ROUNDUP(((C47-F49) + ((C47-F49)*D47*36))/36, 0)</f>
        <v>4767</v>
      </c>
      <c r="N49" s="9">
        <f>ROUNDUP(((C47-F49) + ((C47-F49)*D47*48))/48, 0)</f>
        <v>3953</v>
      </c>
    </row>
    <row r="50" spans="1:14" x14ac:dyDescent="0.2">
      <c r="A50" s="30"/>
      <c r="B50" s="30"/>
      <c r="C50" s="30"/>
      <c r="D50" s="30"/>
      <c r="E50" s="8">
        <v>0.15</v>
      </c>
      <c r="F50" s="9">
        <f>ROUND(C47*E50, 0)</f>
        <v>19530</v>
      </c>
      <c r="G50" s="30"/>
      <c r="H50" s="9">
        <f>F50+G47</f>
        <v>20530</v>
      </c>
      <c r="I50" s="9">
        <f>ROUNDUP(((C47-F50) + ((C47-F50)*D47*12))/12, 0)</f>
        <v>10651</v>
      </c>
      <c r="J50" s="9">
        <f>ROUNDUP(((C47-F50) + ((C47-F50)*D47*18))/18, 0)</f>
        <v>7576</v>
      </c>
      <c r="K50" s="9">
        <f>ROUNDUP(((C47-F50) + ((C47-F50)*D47*24))/24, 0)</f>
        <v>6039</v>
      </c>
      <c r="L50" s="9">
        <f>ROUNDUP(((C47-F50) + ((C47-F50)*D47*30))/30, 0)</f>
        <v>5117</v>
      </c>
      <c r="M50" s="9">
        <f>ROUNDUP(((C47-F50) + ((C47-F50)*D47*36))/36, 0)</f>
        <v>4502</v>
      </c>
      <c r="N50" s="9">
        <f>ROUNDUP(((C47-F50) + ((C47-F50)*D47*48))/48, 0)</f>
        <v>3734</v>
      </c>
    </row>
    <row r="51" spans="1:14" x14ac:dyDescent="0.2">
      <c r="A51" s="34" t="s">
        <v>37</v>
      </c>
      <c r="B51" s="34" t="s">
        <v>38</v>
      </c>
      <c r="C51" s="31">
        <v>99700</v>
      </c>
      <c r="D51" s="32">
        <v>1.29E-2</v>
      </c>
      <c r="E51" s="3">
        <v>0</v>
      </c>
      <c r="F51" s="4">
        <v>10000</v>
      </c>
      <c r="G51" s="31">
        <v>1000</v>
      </c>
      <c r="H51" s="5">
        <f>F51+G51</f>
        <v>11000</v>
      </c>
      <c r="I51" s="5">
        <f>ROUNDUP(((C51-F51) + ((C51-F51)*D51*12))/12, 0)</f>
        <v>8633</v>
      </c>
      <c r="J51" s="5">
        <f>ROUNDUP(((C51-F51) + ((C51-F51)*D51*18))/18, 0)</f>
        <v>6141</v>
      </c>
      <c r="K51" s="5">
        <f>ROUNDUP(((C51-F51) + ((C51-F51)*D51*24))/24, 0)</f>
        <v>4895</v>
      </c>
      <c r="L51" s="5">
        <f>ROUNDUP(((C51-F51) + ((C51-F51)*D51*30))/30, 0)</f>
        <v>4148</v>
      </c>
      <c r="M51" s="5">
        <f>ROUNDUP(((C51-F51) + ((C51-F51)*D51*36))/36, 0)</f>
        <v>3649</v>
      </c>
      <c r="N51" s="6">
        <f>ROUNDUP(((C51-F51) + ((C51-F51)*D51*48))/48, 0)</f>
        <v>3026</v>
      </c>
    </row>
    <row r="52" spans="1:14" x14ac:dyDescent="0.2">
      <c r="A52" s="29"/>
      <c r="B52" s="29"/>
      <c r="C52" s="29"/>
      <c r="D52" s="29"/>
      <c r="E52" s="8">
        <v>0.05</v>
      </c>
      <c r="F52" s="9">
        <f>ROUND(C51*E52, 0)</f>
        <v>4985</v>
      </c>
      <c r="G52" s="29"/>
      <c r="H52" s="9">
        <f>F52+G51</f>
        <v>5985</v>
      </c>
      <c r="I52" s="9">
        <f>ROUNDUP(((C51-F52) + ((C51-F52)*D51*12))/12, 0)</f>
        <v>9115</v>
      </c>
      <c r="J52" s="9">
        <f>ROUNDUP(((C51-F52) + ((C51-F52)*D51*18))/18, 0)</f>
        <v>6484</v>
      </c>
      <c r="K52" s="9">
        <f>ROUNDUP(((C51-F52) + ((C51-F52)*D51*24))/24, 0)</f>
        <v>5169</v>
      </c>
      <c r="L52" s="9">
        <f>ROUNDUP(((C51-F52) + ((C51-F52)*D51*30))/30, 0)</f>
        <v>4379</v>
      </c>
      <c r="M52" s="9">
        <f>ROUNDUP(((C51-F52) + ((C51-F52)*D51*36))/36, 0)</f>
        <v>3853</v>
      </c>
      <c r="N52" s="9">
        <f>ROUNDUP(((C51-F52) + ((C51-F52)*D51*48))/48, 0)</f>
        <v>3196</v>
      </c>
    </row>
    <row r="53" spans="1:14" x14ac:dyDescent="0.2">
      <c r="A53" s="29"/>
      <c r="B53" s="29"/>
      <c r="C53" s="29"/>
      <c r="D53" s="29"/>
      <c r="E53" s="8">
        <v>0.1</v>
      </c>
      <c r="F53" s="9">
        <f>ROUND(C51*E53, 0)</f>
        <v>9970</v>
      </c>
      <c r="G53" s="29"/>
      <c r="H53" s="9">
        <f>F53+G51</f>
        <v>10970</v>
      </c>
      <c r="I53" s="9">
        <f>ROUNDUP(((C51-F53) + ((C51-F53)*D51*12))/12, 0)</f>
        <v>8636</v>
      </c>
      <c r="J53" s="9">
        <f>ROUNDUP(((C51-F53) + ((C51-F53)*D51*18))/18, 0)</f>
        <v>6143</v>
      </c>
      <c r="K53" s="9">
        <f>ROUNDUP(((C51-F53) + ((C51-F53)*D51*24))/24, 0)</f>
        <v>4897</v>
      </c>
      <c r="L53" s="9">
        <f>ROUNDUP(((C51-F53) + ((C51-F53)*D51*30))/30, 0)</f>
        <v>4149</v>
      </c>
      <c r="M53" s="9">
        <f>ROUNDUP(((C51-F53) + ((C51-F53)*D51*36))/36, 0)</f>
        <v>3651</v>
      </c>
      <c r="N53" s="9">
        <f>ROUNDUP(((C51-F53) + ((C51-F53)*D51*48))/48, 0)</f>
        <v>3027</v>
      </c>
    </row>
    <row r="54" spans="1:14" x14ac:dyDescent="0.2">
      <c r="A54" s="30"/>
      <c r="B54" s="30"/>
      <c r="C54" s="30"/>
      <c r="D54" s="30"/>
      <c r="E54" s="8">
        <v>0.15</v>
      </c>
      <c r="F54" s="9">
        <f>ROUND(C51*E54, 0)</f>
        <v>14955</v>
      </c>
      <c r="G54" s="30"/>
      <c r="H54" s="9">
        <f>F54+G51</f>
        <v>15955</v>
      </c>
      <c r="I54" s="9">
        <f>ROUNDUP(((C51-F54) + ((C51-F54)*D51*12))/12, 0)</f>
        <v>8156</v>
      </c>
      <c r="J54" s="9">
        <f>ROUNDUP(((C51-F54) + ((C51-F54)*D51*18))/18, 0)</f>
        <v>5802</v>
      </c>
      <c r="K54" s="9">
        <f>ROUNDUP(((C51-F54) + ((C51-F54)*D51*24))/24, 0)</f>
        <v>4625</v>
      </c>
      <c r="L54" s="9">
        <f>ROUNDUP(((C51-F54) + ((C51-F54)*D51*30))/30, 0)</f>
        <v>3919</v>
      </c>
      <c r="M54" s="9">
        <f>ROUNDUP(((C51-F54) + ((C51-F54)*D51*36))/36, 0)</f>
        <v>3448</v>
      </c>
      <c r="N54" s="9">
        <f>ROUNDUP(((C51-F54) + ((C51-F54)*D51*48))/48, 0)</f>
        <v>2859</v>
      </c>
    </row>
    <row r="55" spans="1:14" x14ac:dyDescent="0.2">
      <c r="A55" s="34" t="s">
        <v>39</v>
      </c>
      <c r="B55" s="34" t="s">
        <v>40</v>
      </c>
      <c r="C55" s="31">
        <v>109200</v>
      </c>
      <c r="D55" s="32">
        <v>1.29E-2</v>
      </c>
      <c r="E55" s="3">
        <v>0</v>
      </c>
      <c r="F55" s="4">
        <v>15900</v>
      </c>
      <c r="G55" s="31">
        <v>1000</v>
      </c>
      <c r="H55" s="5">
        <f>F55+G55</f>
        <v>16900</v>
      </c>
      <c r="I55" s="5">
        <f>ROUNDUP(((C55-F55) + ((C55-F55)*D55*12))/12, 0)</f>
        <v>8979</v>
      </c>
      <c r="J55" s="5">
        <f>ROUNDUP(((C55-F55) + ((C55-F55)*D55*18))/18, 0)</f>
        <v>6387</v>
      </c>
      <c r="K55" s="5">
        <f>ROUNDUP(((C55-F55) + ((C55-F55)*D55*24))/24, 0)</f>
        <v>5092</v>
      </c>
      <c r="L55" s="5">
        <f>ROUNDUP(((C55-F55) + ((C55-F55)*D55*30))/30, 0)</f>
        <v>4314</v>
      </c>
      <c r="M55" s="5">
        <f>ROUNDUP(((C55-F55) + ((C55-F55)*D55*36))/36, 0)</f>
        <v>3796</v>
      </c>
      <c r="N55" s="6">
        <f>ROUNDUP(((C55-F55) + ((C55-F55)*D55*48))/48, 0)</f>
        <v>3148</v>
      </c>
    </row>
    <row r="56" spans="1:14" x14ac:dyDescent="0.2">
      <c r="A56" s="29"/>
      <c r="B56" s="29"/>
      <c r="C56" s="29"/>
      <c r="D56" s="29"/>
      <c r="E56" s="8">
        <v>0.05</v>
      </c>
      <c r="F56" s="9">
        <f>ROUND(C55*E56, 0)</f>
        <v>5460</v>
      </c>
      <c r="G56" s="29"/>
      <c r="H56" s="9">
        <f>F56+G55</f>
        <v>6460</v>
      </c>
      <c r="I56" s="9">
        <f>ROUNDUP(((C55-F56) + ((C55-F56)*D55*12))/12, 0)</f>
        <v>9984</v>
      </c>
      <c r="J56" s="9">
        <f>ROUNDUP(((C55-F56) + ((C55-F56)*D55*18))/18, 0)</f>
        <v>7102</v>
      </c>
      <c r="K56" s="9">
        <f>ROUNDUP(((C55-F56) + ((C55-F56)*D55*24))/24, 0)</f>
        <v>5661</v>
      </c>
      <c r="L56" s="9">
        <f>ROUNDUP(((C55-F56) + ((C55-F56)*D55*30))/30, 0)</f>
        <v>4797</v>
      </c>
      <c r="M56" s="9">
        <f>ROUNDUP(((C55-F56) + ((C55-F56)*D55*36))/36, 0)</f>
        <v>4220</v>
      </c>
      <c r="N56" s="9">
        <f>ROUNDUP(((C55-F56) + ((C55-F56)*D55*48))/48, 0)</f>
        <v>3500</v>
      </c>
    </row>
    <row r="57" spans="1:14" x14ac:dyDescent="0.2">
      <c r="A57" s="29"/>
      <c r="B57" s="29"/>
      <c r="C57" s="29"/>
      <c r="D57" s="29"/>
      <c r="E57" s="8">
        <v>0.1</v>
      </c>
      <c r="F57" s="9">
        <f>ROUND(C55*E57, 0)</f>
        <v>10920</v>
      </c>
      <c r="G57" s="29"/>
      <c r="H57" s="9">
        <f>F57+G55</f>
        <v>11920</v>
      </c>
      <c r="I57" s="9">
        <f>ROUNDUP(((C55-F57) + ((C55-F57)*D55*12))/12, 0)</f>
        <v>9458</v>
      </c>
      <c r="J57" s="9">
        <f>ROUNDUP(((C55-F57) + ((C55-F57)*D55*18))/18, 0)</f>
        <v>6728</v>
      </c>
      <c r="K57" s="9">
        <f>ROUNDUP(((C55-F57) + ((C55-F57)*D55*24))/24, 0)</f>
        <v>5363</v>
      </c>
      <c r="L57" s="9">
        <f>ROUNDUP(((C55-F57) + ((C55-F57)*D55*30))/30, 0)</f>
        <v>4544</v>
      </c>
      <c r="M57" s="9">
        <f>ROUNDUP(((C55-F57) + ((C55-F57)*D55*36))/36, 0)</f>
        <v>3998</v>
      </c>
      <c r="N57" s="9">
        <f>ROUNDUP(((C55-F57) + ((C55-F57)*D55*48))/48, 0)</f>
        <v>3316</v>
      </c>
    </row>
    <row r="58" spans="1:14" x14ac:dyDescent="0.2">
      <c r="A58" s="30"/>
      <c r="B58" s="30"/>
      <c r="C58" s="30"/>
      <c r="D58" s="30"/>
      <c r="E58" s="8">
        <v>0.15</v>
      </c>
      <c r="F58" s="9">
        <f>ROUND(C55*E58, 0)</f>
        <v>16380</v>
      </c>
      <c r="G58" s="30"/>
      <c r="H58" s="9">
        <f>F58+G55</f>
        <v>17380</v>
      </c>
      <c r="I58" s="9">
        <f>ROUNDUP(((C55-F58) + ((C55-F58)*D55*12))/12, 0)</f>
        <v>8933</v>
      </c>
      <c r="J58" s="9">
        <f>ROUNDUP(((C55-F58) + ((C55-F58)*D55*18))/18, 0)</f>
        <v>6355</v>
      </c>
      <c r="K58" s="9">
        <f>ROUNDUP(((C55-F58) + ((C55-F58)*D55*24))/24, 0)</f>
        <v>5065</v>
      </c>
      <c r="L58" s="9">
        <f>ROUNDUP(((C55-F58) + ((C55-F58)*D55*30))/30, 0)</f>
        <v>4292</v>
      </c>
      <c r="M58" s="9">
        <f>ROUNDUP(((C55-F58) + ((C55-F58)*D55*36))/36, 0)</f>
        <v>3776</v>
      </c>
      <c r="N58" s="9">
        <f>ROUNDUP(((C55-F58) + ((C55-F58)*D55*48))/48, 0)</f>
        <v>3132</v>
      </c>
    </row>
    <row r="59" spans="1:14" x14ac:dyDescent="0.2">
      <c r="A59" s="34" t="s">
        <v>41</v>
      </c>
      <c r="B59" s="34" t="s">
        <v>42</v>
      </c>
      <c r="C59" s="31">
        <v>177000</v>
      </c>
      <c r="D59" s="32">
        <v>1.0999999999999999E-2</v>
      </c>
      <c r="E59" s="3">
        <v>0</v>
      </c>
      <c r="F59" s="4">
        <v>29900</v>
      </c>
      <c r="G59" s="31">
        <v>6000</v>
      </c>
      <c r="H59" s="5">
        <f>F59+G59</f>
        <v>35900</v>
      </c>
      <c r="I59" s="5">
        <f>ROUNDUP(((C59-F59) + ((C59-F59)*D59*12))/12, 0)</f>
        <v>13877</v>
      </c>
      <c r="J59" s="5">
        <f>ROUNDUP(((C59-F59) + ((C59-F59)*D59*18))/18, 0)</f>
        <v>9791</v>
      </c>
      <c r="K59" s="5">
        <f>ROUNDUP(((C59-F59) + ((C59-F59)*D59*24))/24, 0)</f>
        <v>7748</v>
      </c>
      <c r="L59" s="5">
        <f>ROUNDUP(((C59-F59) + ((C59-F59)*D59*30))/30, 0)</f>
        <v>6522</v>
      </c>
      <c r="M59" s="5">
        <f>ROUNDUP(((C59-F59) + ((C59-F59)*D59*36))/36, 0)</f>
        <v>5705</v>
      </c>
      <c r="N59" s="6">
        <f>ROUNDUP(((C59-F59) + ((C59-F59)*D59*48))/48, 0)</f>
        <v>4683</v>
      </c>
    </row>
    <row r="60" spans="1:14" x14ac:dyDescent="0.2">
      <c r="A60" s="29"/>
      <c r="B60" s="29"/>
      <c r="C60" s="29"/>
      <c r="D60" s="29"/>
      <c r="E60" s="8">
        <v>0.05</v>
      </c>
      <c r="F60" s="9">
        <f>ROUND(C59*E60, 0)</f>
        <v>8850</v>
      </c>
      <c r="G60" s="29"/>
      <c r="H60" s="9">
        <f>F60+G59</f>
        <v>14850</v>
      </c>
      <c r="I60" s="9">
        <f>ROUNDUP(((C59-F60) + ((C59-F60)*D59*12))/12, 0)</f>
        <v>15863</v>
      </c>
      <c r="J60" s="9">
        <f>ROUNDUP(((C59-F60) + ((C59-F60)*D59*18))/18, 0)</f>
        <v>11192</v>
      </c>
      <c r="K60" s="9">
        <f>ROUNDUP(((C59-F60) + ((C59-F60)*D59*24))/24, 0)</f>
        <v>8856</v>
      </c>
      <c r="L60" s="9">
        <f>ROUNDUP(((C59-F60) + ((C59-F60)*D59*30))/30, 0)</f>
        <v>7455</v>
      </c>
      <c r="M60" s="9">
        <f>ROUNDUP(((C59-F60) + ((C59-F60)*D59*36))/36, 0)</f>
        <v>6521</v>
      </c>
      <c r="N60" s="9">
        <f>ROUNDUP(((C59-F60) + ((C59-F60)*D59*48))/48, 0)</f>
        <v>5353</v>
      </c>
    </row>
    <row r="61" spans="1:14" x14ac:dyDescent="0.2">
      <c r="A61" s="29"/>
      <c r="B61" s="29"/>
      <c r="C61" s="29"/>
      <c r="D61" s="29"/>
      <c r="E61" s="8">
        <v>0.1</v>
      </c>
      <c r="F61" s="9">
        <f>ROUND(C59*E61, 0)</f>
        <v>17700</v>
      </c>
      <c r="G61" s="29"/>
      <c r="H61" s="9">
        <f>F61+G59</f>
        <v>23700</v>
      </c>
      <c r="I61" s="9">
        <f>ROUNDUP(((C59-F61) + ((C59-F61)*D59*12))/12, 0)</f>
        <v>15028</v>
      </c>
      <c r="J61" s="9">
        <f>ROUNDUP(((C59-F61) + ((C59-F61)*D59*18))/18, 0)</f>
        <v>10603</v>
      </c>
      <c r="K61" s="9">
        <f>ROUNDUP(((C59-F61) + ((C59-F61)*D59*24))/24, 0)</f>
        <v>8390</v>
      </c>
      <c r="L61" s="9">
        <f>ROUNDUP(((C59-F61) + ((C59-F61)*D59*30))/30, 0)</f>
        <v>7063</v>
      </c>
      <c r="M61" s="9">
        <f>ROUNDUP(((C59-F61) + ((C59-F61)*D59*36))/36, 0)</f>
        <v>6178</v>
      </c>
      <c r="N61" s="9">
        <f>ROUNDUP(((C59-F61) + ((C59-F61)*D59*48))/48, 0)</f>
        <v>5072</v>
      </c>
    </row>
    <row r="62" spans="1:14" x14ac:dyDescent="0.2">
      <c r="A62" s="30"/>
      <c r="B62" s="30"/>
      <c r="C62" s="30"/>
      <c r="D62" s="30"/>
      <c r="E62" s="8">
        <v>0.15</v>
      </c>
      <c r="F62" s="9">
        <f>ROUND(C59*E62, 0)</f>
        <v>26550</v>
      </c>
      <c r="G62" s="30"/>
      <c r="H62" s="9">
        <f>F62+G59</f>
        <v>32550</v>
      </c>
      <c r="I62" s="9">
        <f>ROUNDUP(((C59-F62) + ((C59-F62)*D59*12))/12, 0)</f>
        <v>14193</v>
      </c>
      <c r="J62" s="9">
        <f>ROUNDUP(((C59-F62) + ((C59-F62)*D59*18))/18, 0)</f>
        <v>10014</v>
      </c>
      <c r="K62" s="9">
        <f>ROUNDUP(((C59-F62) + ((C59-F62)*D59*24))/24, 0)</f>
        <v>7924</v>
      </c>
      <c r="L62" s="9">
        <f>ROUNDUP(((C59-F62) + ((C59-F62)*D59*30))/30, 0)</f>
        <v>6670</v>
      </c>
      <c r="M62" s="9">
        <f>ROUNDUP(((C59-F62) + ((C59-F62)*D59*36))/36, 0)</f>
        <v>5835</v>
      </c>
      <c r="N62" s="9">
        <f>ROUNDUP(((C59-F62) + ((C59-F62)*D59*48))/48, 0)</f>
        <v>4790</v>
      </c>
    </row>
    <row r="63" spans="1:14" x14ac:dyDescent="0.2">
      <c r="A63" s="34" t="s">
        <v>43</v>
      </c>
      <c r="B63" s="34" t="s">
        <v>44</v>
      </c>
      <c r="C63" s="31">
        <v>203000</v>
      </c>
      <c r="D63" s="32">
        <v>1.0999999999999999E-2</v>
      </c>
      <c r="E63" s="3">
        <v>0</v>
      </c>
      <c r="F63" s="4">
        <v>48500</v>
      </c>
      <c r="G63" s="31">
        <v>6000</v>
      </c>
      <c r="H63" s="5">
        <f>F63+G63</f>
        <v>54500</v>
      </c>
      <c r="I63" s="5">
        <f>ROUNDUP(((C63-F63) + ((C63-F63)*D63*12))/12, 0)</f>
        <v>14575</v>
      </c>
      <c r="J63" s="5">
        <f>ROUNDUP(((C63-F63) + ((C63-F63)*D63*18))/18, 0)</f>
        <v>10283</v>
      </c>
      <c r="K63" s="5">
        <f>ROUNDUP(((C63-F63) + ((C63-F63)*D63*24))/24, 0)</f>
        <v>8137</v>
      </c>
      <c r="L63" s="5">
        <f>ROUNDUP(((C63-F63) + ((C63-F63)*D63*30))/30, 0)</f>
        <v>6850</v>
      </c>
      <c r="M63" s="5">
        <f>ROUNDUP(((C63-F63) + ((C63-F63)*D63*36))/36, 0)</f>
        <v>5992</v>
      </c>
      <c r="N63" s="6">
        <f>ROUNDUP(((C63-F63) + ((C63-F63)*D63*48))/48, 0)</f>
        <v>4919</v>
      </c>
    </row>
    <row r="64" spans="1:14" x14ac:dyDescent="0.2">
      <c r="A64" s="29"/>
      <c r="B64" s="29"/>
      <c r="C64" s="29"/>
      <c r="D64" s="29"/>
      <c r="E64" s="8">
        <v>0.05</v>
      </c>
      <c r="F64" s="9">
        <f>ROUND(C63*E64, 0)</f>
        <v>10150</v>
      </c>
      <c r="G64" s="29"/>
      <c r="H64" s="9">
        <f>F64+G63</f>
        <v>16150</v>
      </c>
      <c r="I64" s="9">
        <f>ROUNDUP(((C63-F64) + ((C63-F64)*D63*12))/12, 0)</f>
        <v>18193</v>
      </c>
      <c r="J64" s="9">
        <f>ROUNDUP(((C63-F64) + ((C63-F64)*D63*18))/18, 0)</f>
        <v>12836</v>
      </c>
      <c r="K64" s="9">
        <f>ROUNDUP(((C63-F64) + ((C63-F64)*D63*24))/24, 0)</f>
        <v>10157</v>
      </c>
      <c r="L64" s="9">
        <f>ROUNDUP(((C63-F64) + ((C63-F64)*D63*30))/30, 0)</f>
        <v>8550</v>
      </c>
      <c r="M64" s="9">
        <f>ROUNDUP(((C63-F64) + ((C63-F64)*D63*36))/36, 0)</f>
        <v>7479</v>
      </c>
      <c r="N64" s="9">
        <f>ROUNDUP(((C63-F64) + ((C63-F64)*D63*48))/48, 0)</f>
        <v>6140</v>
      </c>
    </row>
    <row r="65" spans="1:14" x14ac:dyDescent="0.2">
      <c r="A65" s="29"/>
      <c r="B65" s="29"/>
      <c r="C65" s="29"/>
      <c r="D65" s="29"/>
      <c r="E65" s="8">
        <v>0.1</v>
      </c>
      <c r="F65" s="9">
        <f>ROUND(C63*E65, 0)</f>
        <v>20300</v>
      </c>
      <c r="G65" s="29"/>
      <c r="H65" s="9">
        <f>F65+G63</f>
        <v>26300</v>
      </c>
      <c r="I65" s="9">
        <f>ROUNDUP(((C63-F65) + ((C63-F65)*D63*12))/12, 0)</f>
        <v>17235</v>
      </c>
      <c r="J65" s="9">
        <f>ROUNDUP(((C63-F65) + ((C63-F65)*D63*18))/18, 0)</f>
        <v>12160</v>
      </c>
      <c r="K65" s="9">
        <f>ROUNDUP(((C63-F65) + ((C63-F65)*D63*24))/24, 0)</f>
        <v>9623</v>
      </c>
      <c r="L65" s="9">
        <f>ROUNDUP(((C63-F65) + ((C63-F65)*D63*30))/30, 0)</f>
        <v>8100</v>
      </c>
      <c r="M65" s="9">
        <f>ROUNDUP(((C63-F65) + ((C63-F65)*D63*36))/36, 0)</f>
        <v>7085</v>
      </c>
      <c r="N65" s="9">
        <f>ROUNDUP(((C63-F65) + ((C63-F65)*D63*48))/48, 0)</f>
        <v>5816</v>
      </c>
    </row>
    <row r="66" spans="1:14" x14ac:dyDescent="0.2">
      <c r="A66" s="30"/>
      <c r="B66" s="30"/>
      <c r="C66" s="30"/>
      <c r="D66" s="30"/>
      <c r="E66" s="8">
        <v>0.15</v>
      </c>
      <c r="F66" s="9">
        <f>ROUND(C63*E66, 0)</f>
        <v>30450</v>
      </c>
      <c r="G66" s="30"/>
      <c r="H66" s="9">
        <f>F66+G63</f>
        <v>36450</v>
      </c>
      <c r="I66" s="9">
        <f>ROUNDUP(((C63-F66) + ((C63-F66)*D63*12))/12, 0)</f>
        <v>16278</v>
      </c>
      <c r="J66" s="9">
        <f>ROUNDUP(((C63-F66) + ((C63-F66)*D63*18))/18, 0)</f>
        <v>11485</v>
      </c>
      <c r="K66" s="9">
        <f>ROUNDUP(((C63-F66) + ((C63-F66)*D63*24))/24, 0)</f>
        <v>9088</v>
      </c>
      <c r="L66" s="9">
        <f>ROUNDUP(((C63-F66) + ((C63-F66)*D63*30))/30, 0)</f>
        <v>7650</v>
      </c>
      <c r="M66" s="9">
        <f>ROUNDUP(((C63-F66) + ((C63-F66)*D63*36))/36, 0)</f>
        <v>6692</v>
      </c>
      <c r="N66" s="9">
        <f>ROUNDUP(((C63-F66) + ((C63-F66)*D63*48))/48, 0)</f>
        <v>5493</v>
      </c>
    </row>
    <row r="67" spans="1:14" x14ac:dyDescent="0.2">
      <c r="A67" s="34" t="s">
        <v>45</v>
      </c>
      <c r="B67" s="34" t="s">
        <v>46</v>
      </c>
      <c r="C67" s="31">
        <v>85900</v>
      </c>
      <c r="D67" s="32">
        <v>1.0999999999999999E-2</v>
      </c>
      <c r="E67" s="3">
        <v>0</v>
      </c>
      <c r="F67" s="4">
        <v>5900</v>
      </c>
      <c r="G67" s="31">
        <v>1700</v>
      </c>
      <c r="H67" s="5">
        <f>F67+G67</f>
        <v>7600</v>
      </c>
      <c r="I67" s="5">
        <f>ROUNDUP(((C67-F67) + ((C67-F67)*D67*12))/12, 0)</f>
        <v>7547</v>
      </c>
      <c r="J67" s="5">
        <f>ROUNDUP(((C67-F67) + ((C67-F67)*D67*18))/18, 0)</f>
        <v>5325</v>
      </c>
      <c r="K67" s="5">
        <f>ROUNDUP(((C67-F67) + ((C67-F67)*D67*24))/24, 0)</f>
        <v>4214</v>
      </c>
      <c r="L67" s="5">
        <f>ROUNDUP(((C67-F67) + ((C67-F67)*D67*30))/30, 0)</f>
        <v>3547</v>
      </c>
      <c r="M67" s="5">
        <f>ROUNDUP(((C67-F67) + ((C67-F67)*D67*36))/36, 0)</f>
        <v>3103</v>
      </c>
      <c r="N67" s="6">
        <f>ROUNDUP(((C67-F67) + ((C67-F67)*D67*48))/48, 0)</f>
        <v>2547</v>
      </c>
    </row>
    <row r="68" spans="1:14" x14ac:dyDescent="0.2">
      <c r="A68" s="29"/>
      <c r="B68" s="29"/>
      <c r="C68" s="29"/>
      <c r="D68" s="29"/>
      <c r="E68" s="8">
        <v>0.05</v>
      </c>
      <c r="F68" s="9">
        <f>ROUND(C67*E68, 0)</f>
        <v>4295</v>
      </c>
      <c r="G68" s="29"/>
      <c r="H68" s="9">
        <f>F68+G67</f>
        <v>5995</v>
      </c>
      <c r="I68" s="9">
        <f>ROUNDUP(((C67-F68) + ((C67-F68)*D67*12))/12, 0)</f>
        <v>7699</v>
      </c>
      <c r="J68" s="9">
        <f>ROUNDUP(((C67-F68) + ((C67-F68)*D67*18))/18, 0)</f>
        <v>5432</v>
      </c>
      <c r="K68" s="9">
        <f>ROUNDUP(((C67-F68) + ((C67-F68)*D67*24))/24, 0)</f>
        <v>4298</v>
      </c>
      <c r="L68" s="9">
        <f>ROUNDUP(((C67-F68) + ((C67-F68)*D67*30))/30, 0)</f>
        <v>3618</v>
      </c>
      <c r="M68" s="9">
        <f>ROUNDUP(((C67-F68) + ((C67-F68)*D67*36))/36, 0)</f>
        <v>3165</v>
      </c>
      <c r="N68" s="9">
        <f>ROUNDUP(((C67-F68) + ((C67-F68)*D67*48))/48, 0)</f>
        <v>2598</v>
      </c>
    </row>
    <row r="69" spans="1:14" x14ac:dyDescent="0.2">
      <c r="A69" s="29"/>
      <c r="B69" s="29"/>
      <c r="C69" s="29"/>
      <c r="D69" s="29"/>
      <c r="E69" s="8">
        <v>0.1</v>
      </c>
      <c r="F69" s="9">
        <f>ROUND(C67*E69, 0)</f>
        <v>8590</v>
      </c>
      <c r="G69" s="29"/>
      <c r="H69" s="9">
        <f>F69+G67</f>
        <v>10290</v>
      </c>
      <c r="I69" s="9">
        <f>ROUNDUP(((C67-F69) + ((C67-F69)*D67*12))/12, 0)</f>
        <v>7293</v>
      </c>
      <c r="J69" s="9">
        <f>ROUNDUP(((C67-F69) + ((C67-F69)*D67*18))/18, 0)</f>
        <v>5146</v>
      </c>
      <c r="K69" s="9">
        <f>ROUNDUP(((C67-F69) + ((C67-F69)*D67*24))/24, 0)</f>
        <v>4072</v>
      </c>
      <c r="L69" s="9">
        <f>ROUNDUP(((C67-F69) + ((C67-F69)*D67*30))/30, 0)</f>
        <v>3428</v>
      </c>
      <c r="M69" s="9">
        <f>ROUNDUP(((C67-F69) + ((C67-F69)*D67*36))/36, 0)</f>
        <v>2998</v>
      </c>
      <c r="N69" s="9">
        <f>ROUNDUP(((C67-F69) + ((C67-F69)*D67*48))/48, 0)</f>
        <v>2462</v>
      </c>
    </row>
    <row r="70" spans="1:14" x14ac:dyDescent="0.2">
      <c r="A70" s="30"/>
      <c r="B70" s="30"/>
      <c r="C70" s="30"/>
      <c r="D70" s="30"/>
      <c r="E70" s="8">
        <v>0.15</v>
      </c>
      <c r="F70" s="9">
        <f>ROUND(C67*E70, 0)</f>
        <v>12885</v>
      </c>
      <c r="G70" s="30"/>
      <c r="H70" s="9">
        <f>F70+G67</f>
        <v>14585</v>
      </c>
      <c r="I70" s="9">
        <f>ROUNDUP(((C67-F70) + ((C67-F70)*D67*12))/12, 0)</f>
        <v>6888</v>
      </c>
      <c r="J70" s="9">
        <f>ROUNDUP(((C67-F70) + ((C67-F70)*D67*18))/18, 0)</f>
        <v>4860</v>
      </c>
      <c r="K70" s="9">
        <f>ROUNDUP(((C67-F70) + ((C67-F70)*D67*24))/24, 0)</f>
        <v>3846</v>
      </c>
      <c r="L70" s="9">
        <f>ROUNDUP(((C67-F70) + ((C67-F70)*D67*30))/30, 0)</f>
        <v>3237</v>
      </c>
      <c r="M70" s="9">
        <f>ROUNDUP(((C67-F70) + ((C67-F70)*D67*36))/36, 0)</f>
        <v>2832</v>
      </c>
      <c r="N70" s="9">
        <f>ROUNDUP(((C67-F70) + ((C67-F70)*D67*48))/48, 0)</f>
        <v>2325</v>
      </c>
    </row>
    <row r="71" spans="1:14" x14ac:dyDescent="0.2">
      <c r="A71" s="34" t="s">
        <v>47</v>
      </c>
      <c r="B71" s="34" t="s">
        <v>48</v>
      </c>
      <c r="C71" s="31">
        <v>99000</v>
      </c>
      <c r="D71" s="32">
        <v>1.0999999999999999E-2</v>
      </c>
      <c r="E71" s="3">
        <v>0</v>
      </c>
      <c r="F71" s="4">
        <v>19900</v>
      </c>
      <c r="G71" s="31">
        <v>1700</v>
      </c>
      <c r="H71" s="5">
        <f>F71+G71</f>
        <v>21600</v>
      </c>
      <c r="I71" s="5">
        <f>ROUNDUP(((C71-F71) + ((C71-F71)*D71*12))/12, 0)</f>
        <v>7462</v>
      </c>
      <c r="J71" s="5">
        <f>ROUNDUP(((C71-F71) + ((C71-F71)*D71*18))/18, 0)</f>
        <v>5265</v>
      </c>
      <c r="K71" s="5">
        <f>ROUNDUP(((C71-F71) + ((C71-F71)*D71*24))/24, 0)</f>
        <v>4166</v>
      </c>
      <c r="L71" s="5">
        <f>ROUNDUP(((C71-F71) + ((C71-F71)*D71*30))/30, 0)</f>
        <v>3507</v>
      </c>
      <c r="M71" s="5">
        <f>ROUNDUP(((C71-F71) + ((C71-F71)*D71*36))/36, 0)</f>
        <v>3068</v>
      </c>
      <c r="N71" s="6">
        <f>ROUNDUP(((C71-F71) + ((C71-F71)*D71*48))/48, 0)</f>
        <v>2519</v>
      </c>
    </row>
    <row r="72" spans="1:14" x14ac:dyDescent="0.2">
      <c r="A72" s="29"/>
      <c r="B72" s="29"/>
      <c r="C72" s="29"/>
      <c r="D72" s="29"/>
      <c r="E72" s="8">
        <v>0.05</v>
      </c>
      <c r="F72" s="9">
        <f>ROUND(C71*E72, 0)</f>
        <v>4950</v>
      </c>
      <c r="G72" s="29"/>
      <c r="H72" s="9">
        <f>F72+G71</f>
        <v>6650</v>
      </c>
      <c r="I72" s="9">
        <f>ROUNDUP(((C71-F72) + ((C71-F72)*D71*12))/12, 0)</f>
        <v>8873</v>
      </c>
      <c r="J72" s="9">
        <f>ROUNDUP(((C71-F72) + ((C71-F72)*D71*18))/18, 0)</f>
        <v>6260</v>
      </c>
      <c r="K72" s="9">
        <f>ROUNDUP(((C71-F72) + ((C71-F72)*D71*24))/24, 0)</f>
        <v>4954</v>
      </c>
      <c r="L72" s="9">
        <f>ROUNDUP(((C71-F72) + ((C71-F72)*D71*30))/30, 0)</f>
        <v>4170</v>
      </c>
      <c r="M72" s="9">
        <f>ROUNDUP(((C71-F72) + ((C71-F72)*D71*36))/36, 0)</f>
        <v>3648</v>
      </c>
      <c r="N72" s="9">
        <f>ROUNDUP(((C71-F72) + ((C71-F72)*D71*48))/48, 0)</f>
        <v>2994</v>
      </c>
    </row>
    <row r="73" spans="1:14" x14ac:dyDescent="0.2">
      <c r="A73" s="29"/>
      <c r="B73" s="29"/>
      <c r="C73" s="29"/>
      <c r="D73" s="29"/>
      <c r="E73" s="8">
        <v>0.1</v>
      </c>
      <c r="F73" s="9">
        <f>ROUND(C71*E73, 0)</f>
        <v>9900</v>
      </c>
      <c r="G73" s="29"/>
      <c r="H73" s="9">
        <f>F73+G71</f>
        <v>11600</v>
      </c>
      <c r="I73" s="9">
        <f>ROUNDUP(((C71-F73) + ((C71-F73)*D71*12))/12, 0)</f>
        <v>8406</v>
      </c>
      <c r="J73" s="9">
        <f>ROUNDUP(((C71-F73) + ((C71-F73)*D71*18))/18, 0)</f>
        <v>5931</v>
      </c>
      <c r="K73" s="9">
        <f>ROUNDUP(((C71-F73) + ((C71-F73)*D71*24))/24, 0)</f>
        <v>4693</v>
      </c>
      <c r="L73" s="9">
        <f>ROUNDUP(((C71-F73) + ((C71-F73)*D71*30))/30, 0)</f>
        <v>3951</v>
      </c>
      <c r="M73" s="9">
        <f>ROUNDUP(((C71-F73) + ((C71-F73)*D71*36))/36, 0)</f>
        <v>3456</v>
      </c>
      <c r="N73" s="9">
        <f>ROUNDUP(((C71-F73) + ((C71-F73)*D71*48))/48, 0)</f>
        <v>2837</v>
      </c>
    </row>
    <row r="74" spans="1:14" x14ac:dyDescent="0.2">
      <c r="A74" s="30"/>
      <c r="B74" s="30"/>
      <c r="C74" s="30"/>
      <c r="D74" s="30"/>
      <c r="E74" s="8">
        <v>0.15</v>
      </c>
      <c r="F74" s="9">
        <f>ROUND(C71*E74, 0)</f>
        <v>14850</v>
      </c>
      <c r="G74" s="30"/>
      <c r="H74" s="9">
        <f>F74+G71</f>
        <v>16550</v>
      </c>
      <c r="I74" s="9">
        <f>ROUNDUP(((C71-F74) + ((C71-F74)*D71*12))/12, 0)</f>
        <v>7939</v>
      </c>
      <c r="J74" s="9">
        <f>ROUNDUP(((C71-F74) + ((C71-F74)*D71*18))/18, 0)</f>
        <v>5601</v>
      </c>
      <c r="K74" s="9">
        <f>ROUNDUP(((C71-F74) + ((C71-F74)*D71*24))/24, 0)</f>
        <v>4432</v>
      </c>
      <c r="L74" s="9">
        <f>ROUNDUP(((C71-F74) + ((C71-F74)*D71*30))/30, 0)</f>
        <v>3731</v>
      </c>
      <c r="M74" s="9">
        <f>ROUNDUP(((C71-F74) + ((C71-F74)*D71*36))/36, 0)</f>
        <v>3264</v>
      </c>
      <c r="N74" s="9">
        <f>ROUNDUP(((C71-F74) + ((C71-F74)*D71*48))/48, 0)</f>
        <v>2679</v>
      </c>
    </row>
    <row r="75" spans="1:14" x14ac:dyDescent="0.2">
      <c r="A75" s="34" t="s">
        <v>49</v>
      </c>
      <c r="B75" s="34" t="s">
        <v>16</v>
      </c>
      <c r="C75" s="31">
        <v>53800</v>
      </c>
      <c r="D75" s="32">
        <v>1.4999999999999999E-2</v>
      </c>
      <c r="E75" s="3">
        <v>0</v>
      </c>
      <c r="F75" s="4">
        <v>4900</v>
      </c>
      <c r="G75" s="31">
        <v>1700</v>
      </c>
      <c r="H75" s="5">
        <f>F75+G75</f>
        <v>6600</v>
      </c>
      <c r="I75" s="5">
        <f>ROUNDUP(((C75-F75) + ((C75-F75)*D75*12))/12, 0)</f>
        <v>4809</v>
      </c>
      <c r="J75" s="5">
        <f>ROUNDUP(((C75-F75) + ((C75-F75)*D75*18))/18, 0)</f>
        <v>3451</v>
      </c>
      <c r="K75" s="5">
        <f>ROUNDUP(((C75-F75) + ((C75-F75)*D75*24))/24, 0)</f>
        <v>2771</v>
      </c>
      <c r="L75" s="5">
        <f>ROUNDUP(((C75-F75) + ((C75-F75)*D75*30))/30, 0)</f>
        <v>2364</v>
      </c>
      <c r="M75" s="5">
        <f>ROUNDUP(((C75-F75) + ((C75-F75)*D75*36))/36, 0)</f>
        <v>2092</v>
      </c>
      <c r="N75" s="6">
        <f>ROUNDUP(((C75-F75) + ((C75-F75)*D75*48))/48, 0)</f>
        <v>1753</v>
      </c>
    </row>
    <row r="76" spans="1:14" x14ac:dyDescent="0.2">
      <c r="A76" s="29"/>
      <c r="B76" s="29"/>
      <c r="C76" s="29"/>
      <c r="D76" s="29"/>
      <c r="E76" s="8">
        <v>0.05</v>
      </c>
      <c r="F76" s="9">
        <f>ROUND(C75*E76, 0)</f>
        <v>2690</v>
      </c>
      <c r="G76" s="29"/>
      <c r="H76" s="9">
        <f>F76+G75</f>
        <v>4390</v>
      </c>
      <c r="I76" s="9">
        <f>ROUNDUP(((C75-F76) + ((C75-F76)*D75*12))/12, 0)</f>
        <v>5026</v>
      </c>
      <c r="J76" s="9">
        <f>ROUNDUP(((C75-F76) + ((C75-F76)*D75*18))/18, 0)</f>
        <v>3607</v>
      </c>
      <c r="K76" s="9">
        <f>ROUNDUP(((C75-F76) + ((C75-F76)*D75*24))/24, 0)</f>
        <v>2897</v>
      </c>
      <c r="L76" s="9">
        <f>ROUNDUP(((C75-F76) + ((C75-F76)*D75*30))/30, 0)</f>
        <v>2471</v>
      </c>
      <c r="M76" s="9">
        <f>ROUNDUP(((C75-F76) + ((C75-F76)*D75*36))/36, 0)</f>
        <v>2187</v>
      </c>
      <c r="N76" s="9">
        <f>ROUNDUP(((C75-F76) + ((C75-F76)*D75*48))/48, 0)</f>
        <v>1832</v>
      </c>
    </row>
    <row r="77" spans="1:14" x14ac:dyDescent="0.2">
      <c r="A77" s="29"/>
      <c r="B77" s="29"/>
      <c r="C77" s="29"/>
      <c r="D77" s="29"/>
      <c r="E77" s="8">
        <v>0.1</v>
      </c>
      <c r="F77" s="9">
        <f>ROUND(C75*E77, 0)</f>
        <v>5380</v>
      </c>
      <c r="G77" s="29"/>
      <c r="H77" s="9">
        <f>F77+G75</f>
        <v>7080</v>
      </c>
      <c r="I77" s="9">
        <f>ROUNDUP(((C75-F77) + ((C75-F77)*D75*12))/12, 0)</f>
        <v>4762</v>
      </c>
      <c r="J77" s="9">
        <f>ROUNDUP(((C75-F77) + ((C75-F77)*D75*18))/18, 0)</f>
        <v>3417</v>
      </c>
      <c r="K77" s="9">
        <f>ROUNDUP(((C75-F77) + ((C75-F77)*D75*24))/24, 0)</f>
        <v>2744</v>
      </c>
      <c r="L77" s="9">
        <f>ROUNDUP(((C75-F77) + ((C75-F77)*D75*30))/30, 0)</f>
        <v>2341</v>
      </c>
      <c r="M77" s="9">
        <f>ROUNDUP(((C75-F77) + ((C75-F77)*D75*36))/36, 0)</f>
        <v>2072</v>
      </c>
      <c r="N77" s="9">
        <f>ROUNDUP(((C75-F77) + ((C75-F77)*D75*48))/48, 0)</f>
        <v>1736</v>
      </c>
    </row>
    <row r="78" spans="1:14" x14ac:dyDescent="0.2">
      <c r="A78" s="30"/>
      <c r="B78" s="30"/>
      <c r="C78" s="30"/>
      <c r="D78" s="30"/>
      <c r="E78" s="8">
        <v>0.15</v>
      </c>
      <c r="F78" s="9">
        <f>ROUND(C75*E78, 0)</f>
        <v>8070</v>
      </c>
      <c r="G78" s="30"/>
      <c r="H78" s="9">
        <f>F78+G75</f>
        <v>9770</v>
      </c>
      <c r="I78" s="9">
        <f>ROUNDUP(((C75-F78) + ((C75-F78)*D75*12))/12, 0)</f>
        <v>4497</v>
      </c>
      <c r="J78" s="9">
        <f>ROUNDUP(((C75-F78) + ((C75-F78)*D75*18))/18, 0)</f>
        <v>3227</v>
      </c>
      <c r="K78" s="9">
        <f>ROUNDUP(((C75-F78) + ((C75-F78)*D75*24))/24, 0)</f>
        <v>2592</v>
      </c>
      <c r="L78" s="9">
        <f>ROUNDUP(((C75-F78) + ((C75-F78)*D75*30))/30, 0)</f>
        <v>2211</v>
      </c>
      <c r="M78" s="9">
        <f>ROUNDUP(((C75-F78) + ((C75-F78)*D75*36))/36, 0)</f>
        <v>1957</v>
      </c>
      <c r="N78" s="9">
        <f>ROUNDUP(((C75-F78) + ((C75-F78)*D75*48))/48, 0)</f>
        <v>1639</v>
      </c>
    </row>
    <row r="79" spans="1:14" x14ac:dyDescent="0.2">
      <c r="A79" s="34" t="s">
        <v>50</v>
      </c>
      <c r="B79" s="34" t="s">
        <v>51</v>
      </c>
      <c r="C79" s="31">
        <v>52000</v>
      </c>
      <c r="D79" s="32">
        <v>1.4E-2</v>
      </c>
      <c r="E79" s="3">
        <v>0</v>
      </c>
      <c r="F79" s="4">
        <v>900</v>
      </c>
      <c r="G79" s="31">
        <v>1000</v>
      </c>
      <c r="H79" s="5">
        <f>F79+G79</f>
        <v>1900</v>
      </c>
      <c r="I79" s="5">
        <f>ROUNDUP(((C79-F79) + ((C79-F79)*D79*12))/12, 0)</f>
        <v>4974</v>
      </c>
      <c r="J79" s="5">
        <f>ROUNDUP(((C79-F79) + ((C79-F79)*D79*18))/18, 0)</f>
        <v>3555</v>
      </c>
      <c r="K79" s="5">
        <f>ROUNDUP(((C79-F79) + ((C79-F79)*D79*24))/24, 0)</f>
        <v>2845</v>
      </c>
      <c r="L79" s="5">
        <f>ROUNDUP(((C79-F79) + ((C79-F79)*D79*30))/30, 0)</f>
        <v>2419</v>
      </c>
      <c r="M79" s="5">
        <f>ROUNDUP(((C79-F79) + ((C79-F79)*D79*36))/36, 0)</f>
        <v>2135</v>
      </c>
      <c r="N79" s="6">
        <f>ROUNDUP(((C79-F79) + ((C79-F79)*D79*48))/48, 0)</f>
        <v>1780</v>
      </c>
    </row>
    <row r="80" spans="1:14" x14ac:dyDescent="0.2">
      <c r="A80" s="29"/>
      <c r="B80" s="29"/>
      <c r="C80" s="29"/>
      <c r="D80" s="29"/>
      <c r="E80" s="8">
        <v>0.05</v>
      </c>
      <c r="F80" s="9">
        <f>ROUND(C79*E80, 0)</f>
        <v>2600</v>
      </c>
      <c r="G80" s="29"/>
      <c r="H80" s="9">
        <f>F80+G79</f>
        <v>3600</v>
      </c>
      <c r="I80" s="9">
        <f>ROUNDUP(((C79-F80) + ((C79-F80)*D79*12))/12, 0)</f>
        <v>4809</v>
      </c>
      <c r="J80" s="9">
        <f>ROUNDUP(((C79-F80) + ((C79-F80)*D79*18))/18, 0)</f>
        <v>3437</v>
      </c>
      <c r="K80" s="9">
        <f>ROUNDUP(((C79-F80) + ((C79-F80)*D79*24))/24, 0)</f>
        <v>2750</v>
      </c>
      <c r="L80" s="9">
        <f>ROUNDUP(((C79-F80) + ((C79-F80)*D79*30))/30, 0)</f>
        <v>2339</v>
      </c>
      <c r="M80" s="9">
        <f>ROUNDUP(((C79-F80) + ((C79-F80)*D79*36))/36, 0)</f>
        <v>2064</v>
      </c>
      <c r="N80" s="9">
        <f>ROUNDUP(((C79-F80) + ((C79-F80)*D79*48))/48, 0)</f>
        <v>1721</v>
      </c>
    </row>
    <row r="81" spans="1:14" x14ac:dyDescent="0.2">
      <c r="A81" s="29"/>
      <c r="B81" s="29"/>
      <c r="C81" s="29"/>
      <c r="D81" s="29"/>
      <c r="E81" s="8">
        <v>0.1</v>
      </c>
      <c r="F81" s="9">
        <f>ROUND(C79*E81, 0)</f>
        <v>5200</v>
      </c>
      <c r="G81" s="29"/>
      <c r="H81" s="9">
        <f>F81+G79</f>
        <v>6200</v>
      </c>
      <c r="I81" s="9">
        <f>ROUNDUP(((C79-F81) + ((C79-F81)*D79*12))/12, 0)</f>
        <v>4556</v>
      </c>
      <c r="J81" s="9">
        <f>ROUNDUP(((C79-F81) + ((C79-F81)*D79*18))/18, 0)</f>
        <v>3256</v>
      </c>
      <c r="K81" s="9">
        <f>ROUNDUP(((C79-F81) + ((C79-F81)*D79*24))/24, 0)</f>
        <v>2606</v>
      </c>
      <c r="L81" s="9">
        <f>ROUNDUP(((C79-F81) + ((C79-F81)*D79*30))/30, 0)</f>
        <v>2216</v>
      </c>
      <c r="M81" s="9">
        <f>ROUNDUP(((C79-F81) + ((C79-F81)*D79*36))/36, 0)</f>
        <v>1956</v>
      </c>
      <c r="N81" s="9">
        <f>ROUNDUP(((C79-F81) + ((C79-F81)*D79*48))/48, 0)</f>
        <v>1631</v>
      </c>
    </row>
    <row r="82" spans="1:14" x14ac:dyDescent="0.2">
      <c r="A82" s="30"/>
      <c r="B82" s="30"/>
      <c r="C82" s="30"/>
      <c r="D82" s="30"/>
      <c r="E82" s="8">
        <v>0.15</v>
      </c>
      <c r="F82" s="9">
        <f>ROUND(C79*E82, 0)</f>
        <v>7800</v>
      </c>
      <c r="G82" s="30"/>
      <c r="H82" s="9">
        <f>F82+G79</f>
        <v>8800</v>
      </c>
      <c r="I82" s="9">
        <f>ROUNDUP(((C79-F82) + ((C79-F82)*D79*12))/12, 0)</f>
        <v>4303</v>
      </c>
      <c r="J82" s="9">
        <f>ROUNDUP(((C79-F82) + ((C79-F82)*D79*18))/18, 0)</f>
        <v>3075</v>
      </c>
      <c r="K82" s="9">
        <f>ROUNDUP(((C79-F82) + ((C79-F82)*D79*24))/24, 0)</f>
        <v>2461</v>
      </c>
      <c r="L82" s="9">
        <f>ROUNDUP(((C79-F82) + ((C79-F82)*D79*30))/30, 0)</f>
        <v>2093</v>
      </c>
      <c r="M82" s="9">
        <f>ROUNDUP(((C79-F82) + ((C79-F82)*D79*36))/36, 0)</f>
        <v>1847</v>
      </c>
      <c r="N82" s="9">
        <f>ROUNDUP(((C79-F82) + ((C79-F82)*D79*48))/48, 0)</f>
        <v>1540</v>
      </c>
    </row>
    <row r="83" spans="1:14" x14ac:dyDescent="0.2">
      <c r="A83" s="34" t="s">
        <v>52</v>
      </c>
      <c r="B83" s="34" t="s">
        <v>53</v>
      </c>
      <c r="C83" s="31">
        <v>54000</v>
      </c>
      <c r="D83" s="32">
        <v>1.49E-2</v>
      </c>
      <c r="E83" s="3">
        <v>0</v>
      </c>
      <c r="F83" s="4">
        <v>2900</v>
      </c>
      <c r="G83" s="31">
        <v>1000</v>
      </c>
      <c r="H83" s="5">
        <f>F83+G83</f>
        <v>3900</v>
      </c>
      <c r="I83" s="5">
        <f>ROUNDUP(((C83-F83) + ((C83-F83)*D83*12))/12, 0)</f>
        <v>5020</v>
      </c>
      <c r="J83" s="5">
        <f>ROUNDUP(((C83-F83) + ((C83-F83)*D83*18))/18, 0)</f>
        <v>3601</v>
      </c>
      <c r="K83" s="5">
        <f>ROUNDUP(((C83-F83) + ((C83-F83)*D83*24))/24, 0)</f>
        <v>2891</v>
      </c>
      <c r="L83" s="5">
        <f>ROUNDUP(((C83-F83) + ((C83-F83)*D83*30))/30, 0)</f>
        <v>2465</v>
      </c>
      <c r="M83" s="5">
        <f>ROUNDUP(((C83-F83) + ((C83-F83)*D83*36))/36, 0)</f>
        <v>2181</v>
      </c>
      <c r="N83" s="6">
        <f>ROUNDUP(((C83-F83) + ((C83-F83)*D83*48))/48, 0)</f>
        <v>1826</v>
      </c>
    </row>
    <row r="84" spans="1:14" x14ac:dyDescent="0.2">
      <c r="A84" s="29"/>
      <c r="B84" s="29"/>
      <c r="C84" s="29"/>
      <c r="D84" s="29"/>
      <c r="E84" s="8">
        <v>0.05</v>
      </c>
      <c r="F84" s="9">
        <f>ROUND(C83*E84, 0)</f>
        <v>2700</v>
      </c>
      <c r="G84" s="29"/>
      <c r="H84" s="9">
        <f>F84+G83</f>
        <v>3700</v>
      </c>
      <c r="I84" s="9">
        <f>ROUNDUP(((C83-F84) + ((C83-F84)*D83*12))/12, 0)</f>
        <v>5040</v>
      </c>
      <c r="J84" s="9">
        <f>ROUNDUP(((C83-F84) + ((C83-F84)*D83*18))/18, 0)</f>
        <v>3615</v>
      </c>
      <c r="K84" s="9">
        <f>ROUNDUP(((C83-F84) + ((C83-F84)*D83*24))/24, 0)</f>
        <v>2902</v>
      </c>
      <c r="L84" s="9">
        <f>ROUNDUP(((C83-F84) + ((C83-F84)*D83*30))/30, 0)</f>
        <v>2475</v>
      </c>
      <c r="M84" s="9">
        <f>ROUNDUP(((C83-F84) + ((C83-F84)*D83*36))/36, 0)</f>
        <v>2190</v>
      </c>
      <c r="N84" s="9">
        <f>ROUNDUP(((C83-F84) + ((C83-F84)*D83*48))/48, 0)</f>
        <v>1834</v>
      </c>
    </row>
    <row r="85" spans="1:14" x14ac:dyDescent="0.2">
      <c r="A85" s="29"/>
      <c r="B85" s="29"/>
      <c r="C85" s="29"/>
      <c r="D85" s="29"/>
      <c r="E85" s="8">
        <v>0.1</v>
      </c>
      <c r="F85" s="9">
        <f>ROUND(C83*E85, 0)</f>
        <v>5400</v>
      </c>
      <c r="G85" s="29"/>
      <c r="H85" s="9">
        <f>F85+G83</f>
        <v>6400</v>
      </c>
      <c r="I85" s="9">
        <f>ROUNDUP(((C83-F85) + ((C83-F85)*D83*12))/12, 0)</f>
        <v>4775</v>
      </c>
      <c r="J85" s="9">
        <f>ROUNDUP(((C83-F85) + ((C83-F85)*D83*18))/18, 0)</f>
        <v>3425</v>
      </c>
      <c r="K85" s="9">
        <f>ROUNDUP(((C83-F85) + ((C83-F85)*D83*24))/24, 0)</f>
        <v>2750</v>
      </c>
      <c r="L85" s="9">
        <f>ROUNDUP(((C83-F85) + ((C83-F85)*D83*30))/30, 0)</f>
        <v>2345</v>
      </c>
      <c r="M85" s="9">
        <f>ROUNDUP(((C83-F85) + ((C83-F85)*D83*36))/36, 0)</f>
        <v>2075</v>
      </c>
      <c r="N85" s="9">
        <f>ROUNDUP(((C83-F85) + ((C83-F85)*D83*48))/48, 0)</f>
        <v>1737</v>
      </c>
    </row>
    <row r="86" spans="1:14" x14ac:dyDescent="0.2">
      <c r="A86" s="30"/>
      <c r="B86" s="30"/>
      <c r="C86" s="30"/>
      <c r="D86" s="30"/>
      <c r="E86" s="8">
        <v>0.15</v>
      </c>
      <c r="F86" s="9">
        <f>ROUND(C83*E86, 0)</f>
        <v>8100</v>
      </c>
      <c r="G86" s="30"/>
      <c r="H86" s="9">
        <f>F86+G83</f>
        <v>9100</v>
      </c>
      <c r="I86" s="9">
        <f>ROUNDUP(((C83-F86) + ((C83-F86)*D83*12))/12, 0)</f>
        <v>4509</v>
      </c>
      <c r="J86" s="9">
        <f>ROUNDUP(((C83-F86) + ((C83-F86)*D83*18))/18, 0)</f>
        <v>3234</v>
      </c>
      <c r="K86" s="9">
        <f>ROUNDUP(((C83-F86) + ((C83-F86)*D83*24))/24, 0)</f>
        <v>2597</v>
      </c>
      <c r="L86" s="9">
        <f>ROUNDUP(((C83-F86) + ((C83-F86)*D83*30))/30, 0)</f>
        <v>2214</v>
      </c>
      <c r="M86" s="9">
        <f>ROUNDUP(((C83-F86) + ((C83-F86)*D83*36))/36, 0)</f>
        <v>1959</v>
      </c>
      <c r="N86" s="9">
        <f>ROUNDUP(((C83-F86) + ((C83-F86)*D83*48))/48, 0)</f>
        <v>1641</v>
      </c>
    </row>
    <row r="87" spans="1:14" x14ac:dyDescent="0.2">
      <c r="A87" s="34" t="s">
        <v>54</v>
      </c>
      <c r="B87" s="34" t="s">
        <v>55</v>
      </c>
      <c r="C87" s="31">
        <v>52300</v>
      </c>
      <c r="D87" s="32">
        <v>1.4500000000000001E-2</v>
      </c>
      <c r="E87" s="3">
        <v>0</v>
      </c>
      <c r="F87" s="4">
        <v>1900</v>
      </c>
      <c r="G87" s="31">
        <v>1000</v>
      </c>
      <c r="H87" s="5">
        <f>F87+G87</f>
        <v>2900</v>
      </c>
      <c r="I87" s="5">
        <f>ROUNDUP(((C87-F87) + ((C87-F87)*D87*12))/12, 0)</f>
        <v>4931</v>
      </c>
      <c r="J87" s="5">
        <f>ROUNDUP(((C87-F87) + ((C87-F87)*D87*18))/18, 0)</f>
        <v>3531</v>
      </c>
      <c r="K87" s="5">
        <f>ROUNDUP(((C87-F87) + ((C87-F87)*D87*24))/24, 0)</f>
        <v>2831</v>
      </c>
      <c r="L87" s="5">
        <f>ROUNDUP(((C87-F87) + ((C87-F87)*D87*30))/30, 0)</f>
        <v>2411</v>
      </c>
      <c r="M87" s="5">
        <f>ROUNDUP(((C87-F87) + ((C87-F87)*D87*36))/36, 0)</f>
        <v>2131</v>
      </c>
      <c r="N87" s="6">
        <f>ROUNDUP(((C87-F87) + ((C87-F87)*D87*48))/48, 0)</f>
        <v>1781</v>
      </c>
    </row>
    <row r="88" spans="1:14" x14ac:dyDescent="0.2">
      <c r="A88" s="29"/>
      <c r="B88" s="29"/>
      <c r="C88" s="29"/>
      <c r="D88" s="29"/>
      <c r="E88" s="8">
        <v>0.05</v>
      </c>
      <c r="F88" s="9">
        <f>ROUND(C87*E88, 0)</f>
        <v>2615</v>
      </c>
      <c r="G88" s="29"/>
      <c r="H88" s="9">
        <f>F88+G87</f>
        <v>3615</v>
      </c>
      <c r="I88" s="9">
        <f>ROUNDUP(((C87-F88) + ((C87-F88)*D87*12))/12, 0)</f>
        <v>4861</v>
      </c>
      <c r="J88" s="9">
        <f>ROUNDUP(((C87-F88) + ((C87-F88)*D87*18))/18, 0)</f>
        <v>3481</v>
      </c>
      <c r="K88" s="9">
        <f>ROUNDUP(((C87-F88) + ((C87-F88)*D87*24))/24, 0)</f>
        <v>2791</v>
      </c>
      <c r="L88" s="9">
        <f>ROUNDUP(((C87-F88) + ((C87-F88)*D87*30))/30, 0)</f>
        <v>2377</v>
      </c>
      <c r="M88" s="9">
        <f>ROUNDUP(((C87-F88) + ((C87-F88)*D87*36))/36, 0)</f>
        <v>2101</v>
      </c>
      <c r="N88" s="9">
        <f>ROUNDUP(((C87-F88) + ((C87-F88)*D87*48))/48, 0)</f>
        <v>1756</v>
      </c>
    </row>
    <row r="89" spans="1:14" x14ac:dyDescent="0.2">
      <c r="A89" s="29"/>
      <c r="B89" s="29"/>
      <c r="C89" s="29"/>
      <c r="D89" s="29"/>
      <c r="E89" s="8">
        <v>0.1</v>
      </c>
      <c r="F89" s="9">
        <f>ROUND(C87*E89, 0)</f>
        <v>5230</v>
      </c>
      <c r="G89" s="29"/>
      <c r="H89" s="9">
        <f>F89+G87</f>
        <v>6230</v>
      </c>
      <c r="I89" s="9">
        <f>ROUNDUP(((C87-F89) + ((C87-F89)*D87*12))/12, 0)</f>
        <v>4606</v>
      </c>
      <c r="J89" s="9">
        <f>ROUNDUP(((C87-F89) + ((C87-F89)*D87*18))/18, 0)</f>
        <v>3298</v>
      </c>
      <c r="K89" s="9">
        <f>ROUNDUP(((C87-F89) + ((C87-F89)*D87*24))/24, 0)</f>
        <v>2644</v>
      </c>
      <c r="L89" s="9">
        <f>ROUNDUP(((C87-F89) + ((C87-F89)*D87*30))/30, 0)</f>
        <v>2252</v>
      </c>
      <c r="M89" s="9">
        <f>ROUNDUP(((C87-F89) + ((C87-F89)*D87*36))/36, 0)</f>
        <v>1991</v>
      </c>
      <c r="N89" s="9">
        <f>ROUNDUP(((C87-F89) + ((C87-F89)*D87*48))/48, 0)</f>
        <v>1664</v>
      </c>
    </row>
    <row r="90" spans="1:14" x14ac:dyDescent="0.2">
      <c r="A90" s="30"/>
      <c r="B90" s="30"/>
      <c r="C90" s="30"/>
      <c r="D90" s="30"/>
      <c r="E90" s="8">
        <v>0.15</v>
      </c>
      <c r="F90" s="9">
        <f>ROUND(C87*E90, 0)</f>
        <v>7845</v>
      </c>
      <c r="G90" s="30"/>
      <c r="H90" s="9">
        <f>F90+G87</f>
        <v>8845</v>
      </c>
      <c r="I90" s="9">
        <f>ROUNDUP(((C87-F90) + ((C87-F90)*D87*12))/12, 0)</f>
        <v>4350</v>
      </c>
      <c r="J90" s="9">
        <f>ROUNDUP(((C87-F90) + ((C87-F90)*D87*18))/18, 0)</f>
        <v>3115</v>
      </c>
      <c r="K90" s="9">
        <f>ROUNDUP(((C87-F90) + ((C87-F90)*D87*24))/24, 0)</f>
        <v>2497</v>
      </c>
      <c r="L90" s="9">
        <f>ROUNDUP(((C87-F90) + ((C87-F90)*D87*30))/30, 0)</f>
        <v>2127</v>
      </c>
      <c r="M90" s="9">
        <f>ROUNDUP(((C87-F90) + ((C87-F90)*D87*36))/36, 0)</f>
        <v>1880</v>
      </c>
      <c r="N90" s="9">
        <f>ROUNDUP(((C87-F90) + ((C87-F90)*D87*48))/48, 0)</f>
        <v>1571</v>
      </c>
    </row>
    <row r="91" spans="1:14" x14ac:dyDescent="0.2">
      <c r="A91" s="34" t="s">
        <v>56</v>
      </c>
      <c r="B91" s="34" t="s">
        <v>57</v>
      </c>
      <c r="C91" s="31">
        <v>50300</v>
      </c>
      <c r="D91" s="32">
        <v>1.3899999999999999E-2</v>
      </c>
      <c r="E91" s="3">
        <v>0</v>
      </c>
      <c r="F91" s="4">
        <v>1900</v>
      </c>
      <c r="G91" s="31">
        <v>1000</v>
      </c>
      <c r="H91" s="5">
        <f>F91+G91</f>
        <v>2900</v>
      </c>
      <c r="I91" s="5">
        <f>ROUNDUP(((C91-F91) + ((C91-F91)*D91*12))/12, 0)</f>
        <v>4707</v>
      </c>
      <c r="J91" s="5">
        <f>ROUNDUP(((C91-F91) + ((C91-F91)*D91*18))/18, 0)</f>
        <v>3362</v>
      </c>
      <c r="K91" s="5">
        <f>ROUNDUP(((C91-F91) + ((C91-F91)*D91*24))/24, 0)</f>
        <v>2690</v>
      </c>
      <c r="L91" s="5">
        <f>ROUNDUP(((C91-F91) + ((C91-F91)*D91*30))/30, 0)</f>
        <v>2287</v>
      </c>
      <c r="M91" s="5">
        <f>ROUNDUP(((C91-F91) + ((C91-F91)*D91*36))/36, 0)</f>
        <v>2018</v>
      </c>
      <c r="N91" s="6">
        <f>ROUNDUP(((C91-F91) + ((C91-F91)*D91*48))/48, 0)</f>
        <v>1682</v>
      </c>
    </row>
    <row r="92" spans="1:14" x14ac:dyDescent="0.2">
      <c r="A92" s="29"/>
      <c r="B92" s="29"/>
      <c r="C92" s="29"/>
      <c r="D92" s="29"/>
      <c r="E92" s="8">
        <v>0.05</v>
      </c>
      <c r="F92" s="9">
        <f>ROUND(C91*E92, 0)</f>
        <v>2515</v>
      </c>
      <c r="G92" s="29"/>
      <c r="H92" s="9">
        <f>F92+G91</f>
        <v>3515</v>
      </c>
      <c r="I92" s="9">
        <f>ROUNDUP(((C91-F92) + ((C91-F92)*D91*12))/12, 0)</f>
        <v>4647</v>
      </c>
      <c r="J92" s="9">
        <f>ROUNDUP(((C91-F92) + ((C91-F92)*D91*18))/18, 0)</f>
        <v>3319</v>
      </c>
      <c r="K92" s="9">
        <f>ROUNDUP(((C91-F92) + ((C91-F92)*D91*24))/24, 0)</f>
        <v>2656</v>
      </c>
      <c r="L92" s="9">
        <f>ROUNDUP(((C91-F92) + ((C91-F92)*D91*30))/30, 0)</f>
        <v>2258</v>
      </c>
      <c r="M92" s="9">
        <f>ROUNDUP(((C91-F92) + ((C91-F92)*D91*36))/36, 0)</f>
        <v>1992</v>
      </c>
      <c r="N92" s="9">
        <f>ROUNDUP(((C91-F92) + ((C91-F92)*D91*48))/48, 0)</f>
        <v>1660</v>
      </c>
    </row>
    <row r="93" spans="1:14" x14ac:dyDescent="0.2">
      <c r="A93" s="29"/>
      <c r="B93" s="29"/>
      <c r="C93" s="29"/>
      <c r="D93" s="29"/>
      <c r="E93" s="8">
        <v>0.1</v>
      </c>
      <c r="F93" s="9">
        <f>ROUND(C91*E93, 0)</f>
        <v>5030</v>
      </c>
      <c r="G93" s="29"/>
      <c r="H93" s="9">
        <f>F93+G91</f>
        <v>6030</v>
      </c>
      <c r="I93" s="9">
        <f>ROUNDUP(((C91-F93) + ((C91-F93)*D91*12))/12, 0)</f>
        <v>4402</v>
      </c>
      <c r="J93" s="9">
        <f>ROUNDUP(((C91-F93) + ((C91-F93)*D91*18))/18, 0)</f>
        <v>3145</v>
      </c>
      <c r="K93" s="9">
        <f>ROUNDUP(((C91-F93) + ((C91-F93)*D91*24))/24, 0)</f>
        <v>2516</v>
      </c>
      <c r="L93" s="9">
        <f>ROUNDUP(((C91-F93) + ((C91-F93)*D91*30))/30, 0)</f>
        <v>2139</v>
      </c>
      <c r="M93" s="9">
        <f>ROUNDUP(((C91-F93) + ((C91-F93)*D91*36))/36, 0)</f>
        <v>1887</v>
      </c>
      <c r="N93" s="9">
        <f>ROUNDUP(((C91-F93) + ((C91-F93)*D91*48))/48, 0)</f>
        <v>1573</v>
      </c>
    </row>
    <row r="94" spans="1:14" x14ac:dyDescent="0.2">
      <c r="A94" s="30"/>
      <c r="B94" s="30"/>
      <c r="C94" s="30"/>
      <c r="D94" s="30"/>
      <c r="E94" s="8">
        <v>0.15</v>
      </c>
      <c r="F94" s="9">
        <f>ROUND(C91*E94, 0)</f>
        <v>7545</v>
      </c>
      <c r="G94" s="30"/>
      <c r="H94" s="9">
        <f>F94+G91</f>
        <v>8545</v>
      </c>
      <c r="I94" s="9">
        <f>ROUNDUP(((C91-F94) + ((C91-F94)*D91*12))/12, 0)</f>
        <v>4158</v>
      </c>
      <c r="J94" s="9">
        <f>ROUNDUP(((C91-F94) + ((C91-F94)*D91*18))/18, 0)</f>
        <v>2970</v>
      </c>
      <c r="K94" s="9">
        <f>ROUNDUP(((C91-F94) + ((C91-F94)*D91*24))/24, 0)</f>
        <v>2376</v>
      </c>
      <c r="L94" s="9">
        <f>ROUNDUP(((C91-F94) + ((C91-F94)*D91*30))/30, 0)</f>
        <v>2020</v>
      </c>
      <c r="M94" s="9">
        <f>ROUNDUP(((C91-F94) + ((C91-F94)*D91*36))/36, 0)</f>
        <v>1782</v>
      </c>
      <c r="N94" s="9">
        <f>ROUNDUP(((C91-F94) + ((C91-F94)*D91*48))/48, 0)</f>
        <v>1486</v>
      </c>
    </row>
    <row r="95" spans="1:14" x14ac:dyDescent="0.2">
      <c r="A95" s="34" t="s">
        <v>58</v>
      </c>
      <c r="B95" s="34" t="s">
        <v>59</v>
      </c>
      <c r="C95" s="31">
        <v>80500</v>
      </c>
      <c r="D95" s="32">
        <v>1.4999999999999999E-2</v>
      </c>
      <c r="E95" s="3">
        <v>0</v>
      </c>
      <c r="F95" s="4">
        <v>7900</v>
      </c>
      <c r="G95" s="31">
        <v>1700</v>
      </c>
      <c r="H95" s="5">
        <f>F95+G95</f>
        <v>9600</v>
      </c>
      <c r="I95" s="5">
        <f>ROUNDUP(((C95-F95) + ((C95-F95)*D95*12))/12, 0)</f>
        <v>7139</v>
      </c>
      <c r="J95" s="5">
        <f>ROUNDUP(((C95-F95) + ((C95-F95)*D95*18))/18, 0)</f>
        <v>5123</v>
      </c>
      <c r="K95" s="5">
        <f>ROUNDUP(((C95-F95) + ((C95-F95)*D95*24))/24, 0)</f>
        <v>4114</v>
      </c>
      <c r="L95" s="5">
        <f>ROUNDUP(((C95-F95) + ((C95-F95)*D95*30))/30, 0)</f>
        <v>3509</v>
      </c>
      <c r="M95" s="5">
        <f>ROUNDUP(((C95-F95) + ((C95-F95)*D95*36))/36, 0)</f>
        <v>3106</v>
      </c>
      <c r="N95" s="6">
        <f>ROUNDUP(((C95-F95) + ((C95-F95)*D95*48))/48, 0)</f>
        <v>2602</v>
      </c>
    </row>
    <row r="96" spans="1:14" x14ac:dyDescent="0.2">
      <c r="A96" s="29"/>
      <c r="B96" s="29"/>
      <c r="C96" s="29"/>
      <c r="D96" s="29"/>
      <c r="E96" s="8">
        <v>0.05</v>
      </c>
      <c r="F96" s="9">
        <f>ROUND(C95*E96, 0)</f>
        <v>4025</v>
      </c>
      <c r="G96" s="29"/>
      <c r="H96" s="9">
        <f>F96+G95</f>
        <v>5725</v>
      </c>
      <c r="I96" s="9">
        <f>ROUNDUP(((C95-F96) + ((C95-F96)*D95*12))/12, 0)</f>
        <v>7521</v>
      </c>
      <c r="J96" s="9">
        <f>ROUNDUP(((C95-F96) + ((C95-F96)*D95*18))/18, 0)</f>
        <v>5396</v>
      </c>
      <c r="K96" s="9">
        <f>ROUNDUP(((C95-F96) + ((C95-F96)*D95*24))/24, 0)</f>
        <v>4334</v>
      </c>
      <c r="L96" s="9">
        <f>ROUNDUP(((C95-F96) + ((C95-F96)*D95*30))/30, 0)</f>
        <v>3697</v>
      </c>
      <c r="M96" s="9">
        <f>ROUNDUP(((C95-F96) + ((C95-F96)*D95*36))/36, 0)</f>
        <v>3272</v>
      </c>
      <c r="N96" s="9">
        <f>ROUNDUP(((C95-F96) + ((C95-F96)*D95*48))/48, 0)</f>
        <v>2741</v>
      </c>
    </row>
    <row r="97" spans="1:14" x14ac:dyDescent="0.2">
      <c r="A97" s="29"/>
      <c r="B97" s="29"/>
      <c r="C97" s="29"/>
      <c r="D97" s="29"/>
      <c r="E97" s="8">
        <v>0.1</v>
      </c>
      <c r="F97" s="9">
        <f>ROUND(C95*E97, 0)</f>
        <v>8050</v>
      </c>
      <c r="G97" s="29"/>
      <c r="H97" s="9">
        <f>F97+G95</f>
        <v>9750</v>
      </c>
      <c r="I97" s="9">
        <f>ROUNDUP(((C95-F97) + ((C95-F97)*D95*12))/12, 0)</f>
        <v>7125</v>
      </c>
      <c r="J97" s="9">
        <f>ROUNDUP(((C95-F97) + ((C95-F97)*D95*18))/18, 0)</f>
        <v>5112</v>
      </c>
      <c r="K97" s="9">
        <f>ROUNDUP(((C95-F97) + ((C95-F97)*D95*24))/24, 0)</f>
        <v>4106</v>
      </c>
      <c r="L97" s="9">
        <f>ROUNDUP(((C95-F97) + ((C95-F97)*D95*30))/30, 0)</f>
        <v>3502</v>
      </c>
      <c r="M97" s="9">
        <f>ROUNDUP(((C95-F97) + ((C95-F97)*D95*36))/36, 0)</f>
        <v>3100</v>
      </c>
      <c r="N97" s="9">
        <f>ROUNDUP(((C95-F97) + ((C95-F97)*D95*48))/48, 0)</f>
        <v>2597</v>
      </c>
    </row>
    <row r="98" spans="1:14" x14ac:dyDescent="0.2">
      <c r="A98" s="30"/>
      <c r="B98" s="30"/>
      <c r="C98" s="30"/>
      <c r="D98" s="30"/>
      <c r="E98" s="8">
        <v>0.15</v>
      </c>
      <c r="F98" s="9">
        <f>ROUND(C95*E98, 0)</f>
        <v>12075</v>
      </c>
      <c r="G98" s="30"/>
      <c r="H98" s="9">
        <f>F98+G95</f>
        <v>13775</v>
      </c>
      <c r="I98" s="9">
        <f>ROUNDUP(((C95-F98) + ((C95-F98)*D95*12))/12, 0)</f>
        <v>6729</v>
      </c>
      <c r="J98" s="9">
        <f>ROUNDUP(((C95-F98) + ((C95-F98)*D95*18))/18, 0)</f>
        <v>4828</v>
      </c>
      <c r="K98" s="9">
        <f>ROUNDUP(((C95-F98) + ((C95-F98)*D95*24))/24, 0)</f>
        <v>3878</v>
      </c>
      <c r="L98" s="9">
        <f>ROUNDUP(((C95-F98) + ((C95-F98)*D95*30))/30, 0)</f>
        <v>3308</v>
      </c>
      <c r="M98" s="9">
        <f>ROUNDUP(((C95-F98) + ((C95-F98)*D95*36))/36, 0)</f>
        <v>2928</v>
      </c>
      <c r="N98" s="9">
        <f>ROUNDUP(((C95-F98) + ((C95-F98)*D95*48))/48, 0)</f>
        <v>2452</v>
      </c>
    </row>
    <row r="99" spans="1:14" x14ac:dyDescent="0.2">
      <c r="A99" s="34" t="s">
        <v>60</v>
      </c>
      <c r="B99" s="34" t="s">
        <v>61</v>
      </c>
      <c r="C99" s="31">
        <v>107500</v>
      </c>
      <c r="D99" s="32">
        <v>9.0000000000000011E-3</v>
      </c>
      <c r="E99" s="3">
        <v>0</v>
      </c>
      <c r="F99" s="4">
        <v>7500</v>
      </c>
      <c r="G99" s="31">
        <v>2000</v>
      </c>
      <c r="H99" s="5">
        <f>F99+G99</f>
        <v>9500</v>
      </c>
      <c r="I99" s="5">
        <f>ROUNDUP(((C99-F99) + ((C99-F99)*D99*12))/12, 0)</f>
        <v>9234</v>
      </c>
      <c r="J99" s="5">
        <f>ROUNDUP(((C99-F99) + ((C99-F99)*D99*18))/18, 0)</f>
        <v>6456</v>
      </c>
      <c r="K99" s="5">
        <f>ROUNDUP(((C99-F99) + ((C99-F99)*D99*24))/24, 0)</f>
        <v>5067</v>
      </c>
      <c r="L99" s="5">
        <f>ROUNDUP(((C99-F99) + ((C99-F99)*D99*30))/30, 0)</f>
        <v>4234</v>
      </c>
      <c r="M99" s="5">
        <f>ROUNDUP(((C99-F99) + ((C99-F99)*D99*36))/36, 0)</f>
        <v>3678</v>
      </c>
      <c r="N99" s="6">
        <f>ROUNDUP(((C99-F99) + ((C99-F99)*D99*48))/48, 0)</f>
        <v>2984</v>
      </c>
    </row>
    <row r="100" spans="1:14" x14ac:dyDescent="0.2">
      <c r="A100" s="29"/>
      <c r="B100" s="29"/>
      <c r="C100" s="29"/>
      <c r="D100" s="29"/>
      <c r="E100" s="8">
        <v>0.05</v>
      </c>
      <c r="F100" s="9">
        <f>ROUND(C99*E100, 0)</f>
        <v>5375</v>
      </c>
      <c r="G100" s="29"/>
      <c r="H100" s="9">
        <f>F100+G99</f>
        <v>7375</v>
      </c>
      <c r="I100" s="9">
        <f>ROUNDUP(((C99-F100) + ((C99-F100)*D99*12))/12, 0)</f>
        <v>9430</v>
      </c>
      <c r="J100" s="9">
        <f>ROUNDUP(((C99-F100) + ((C99-F100)*D99*18))/18, 0)</f>
        <v>6593</v>
      </c>
      <c r="K100" s="9">
        <f>ROUNDUP(((C99-F100) + ((C99-F100)*D99*24))/24, 0)</f>
        <v>5175</v>
      </c>
      <c r="L100" s="9">
        <f>ROUNDUP(((C99-F100) + ((C99-F100)*D99*30))/30, 0)</f>
        <v>4324</v>
      </c>
      <c r="M100" s="9">
        <f>ROUNDUP(((C99-F100) + ((C99-F100)*D99*36))/36, 0)</f>
        <v>3756</v>
      </c>
      <c r="N100" s="9">
        <f>ROUNDUP(((C99-F100) + ((C99-F100)*D99*48))/48, 0)</f>
        <v>3047</v>
      </c>
    </row>
    <row r="101" spans="1:14" x14ac:dyDescent="0.2">
      <c r="A101" s="29"/>
      <c r="B101" s="29"/>
      <c r="C101" s="29"/>
      <c r="D101" s="29"/>
      <c r="E101" s="8">
        <v>0.1</v>
      </c>
      <c r="F101" s="9">
        <f>ROUND(C99*E101, 0)</f>
        <v>10750</v>
      </c>
      <c r="G101" s="29"/>
      <c r="H101" s="9">
        <f>F101+G99</f>
        <v>12750</v>
      </c>
      <c r="I101" s="9">
        <f>ROUNDUP(((C99-F101) + ((C99-F101)*D99*12))/12, 0)</f>
        <v>8934</v>
      </c>
      <c r="J101" s="9">
        <f>ROUNDUP(((C99-F101) + ((C99-F101)*D99*18))/18, 0)</f>
        <v>6246</v>
      </c>
      <c r="K101" s="9">
        <f>ROUNDUP(((C99-F101) + ((C99-F101)*D99*24))/24, 0)</f>
        <v>4902</v>
      </c>
      <c r="L101" s="9">
        <f>ROUNDUP(((C99-F101) + ((C99-F101)*D99*30))/30, 0)</f>
        <v>4096</v>
      </c>
      <c r="M101" s="9">
        <f>ROUNDUP(((C99-F101) + ((C99-F101)*D99*36))/36, 0)</f>
        <v>3559</v>
      </c>
      <c r="N101" s="9">
        <f>ROUNDUP(((C99-F101) + ((C99-F101)*D99*48))/48, 0)</f>
        <v>2887</v>
      </c>
    </row>
    <row r="102" spans="1:14" x14ac:dyDescent="0.2">
      <c r="A102" s="30"/>
      <c r="B102" s="30"/>
      <c r="C102" s="30"/>
      <c r="D102" s="30"/>
      <c r="E102" s="8">
        <v>0.15</v>
      </c>
      <c r="F102" s="9">
        <f>ROUND(C99*E102, 0)</f>
        <v>16125</v>
      </c>
      <c r="G102" s="30"/>
      <c r="H102" s="9">
        <f>F102+G99</f>
        <v>18125</v>
      </c>
      <c r="I102" s="9">
        <f>ROUNDUP(((C99-F102) + ((C99-F102)*D99*12))/12, 0)</f>
        <v>8437</v>
      </c>
      <c r="J102" s="9">
        <f>ROUNDUP(((C99-F102) + ((C99-F102)*D99*18))/18, 0)</f>
        <v>5899</v>
      </c>
      <c r="K102" s="9">
        <f>ROUNDUP(((C99-F102) + ((C99-F102)*D99*24))/24, 0)</f>
        <v>4630</v>
      </c>
      <c r="L102" s="9">
        <f>ROUNDUP(((C99-F102) + ((C99-F102)*D99*30))/30, 0)</f>
        <v>3869</v>
      </c>
      <c r="M102" s="9">
        <f>ROUNDUP(((C99-F102) + ((C99-F102)*D99*36))/36, 0)</f>
        <v>3361</v>
      </c>
      <c r="N102" s="9">
        <f>ROUNDUP(((C99-F102) + ((C99-F102)*D99*48))/48, 0)</f>
        <v>2727</v>
      </c>
    </row>
    <row r="103" spans="1:14" x14ac:dyDescent="0.2">
      <c r="A103" s="34" t="s">
        <v>62</v>
      </c>
      <c r="B103" s="34" t="s">
        <v>63</v>
      </c>
      <c r="C103" s="31">
        <v>59900</v>
      </c>
      <c r="D103" s="32">
        <v>1.35E-2</v>
      </c>
      <c r="E103" s="3">
        <v>0</v>
      </c>
      <c r="F103" s="4">
        <v>1900</v>
      </c>
      <c r="G103" s="31">
        <v>1000</v>
      </c>
      <c r="H103" s="5">
        <f>F103+G103</f>
        <v>2900</v>
      </c>
      <c r="I103" s="5">
        <f>ROUNDUP(((C103-F103) + ((C103-F103)*D103*12))/12, 0)</f>
        <v>5617</v>
      </c>
      <c r="J103" s="5">
        <f>ROUNDUP(((C103-F103) + ((C103-F103)*D103*18))/18, 0)</f>
        <v>4006</v>
      </c>
      <c r="K103" s="5">
        <f>ROUNDUP(((C103-F103) + ((C103-F103)*D103*24))/24, 0)</f>
        <v>3200</v>
      </c>
      <c r="L103" s="5">
        <f>ROUNDUP(((C103-F103) + ((C103-F103)*D103*30))/30, 0)</f>
        <v>2717</v>
      </c>
      <c r="M103" s="5">
        <f>ROUNDUP(((C103-F103) + ((C103-F103)*D103*36))/36, 0)</f>
        <v>2395</v>
      </c>
      <c r="N103" s="6">
        <f>ROUNDUP(((C103-F103) + ((C103-F103)*D103*48))/48, 0)</f>
        <v>1992</v>
      </c>
    </row>
    <row r="104" spans="1:14" x14ac:dyDescent="0.2">
      <c r="A104" s="29"/>
      <c r="B104" s="29"/>
      <c r="C104" s="29"/>
      <c r="D104" s="29"/>
      <c r="E104" s="8">
        <v>0.05</v>
      </c>
      <c r="F104" s="9">
        <f>ROUND(C103*E104, 0)</f>
        <v>2995</v>
      </c>
      <c r="G104" s="29"/>
      <c r="H104" s="9">
        <f>F104+G103</f>
        <v>3995</v>
      </c>
      <c r="I104" s="9">
        <f>ROUNDUP(((C103-F104) + ((C103-F104)*D103*12))/12, 0)</f>
        <v>5511</v>
      </c>
      <c r="J104" s="9">
        <f>ROUNDUP(((C103-F104) + ((C103-F104)*D103*18))/18, 0)</f>
        <v>3930</v>
      </c>
      <c r="K104" s="9">
        <f>ROUNDUP(((C103-F104) + ((C103-F104)*D103*24))/24, 0)</f>
        <v>3140</v>
      </c>
      <c r="L104" s="9">
        <f>ROUNDUP(((C103-F104) + ((C103-F104)*D103*30))/30, 0)</f>
        <v>2666</v>
      </c>
      <c r="M104" s="9">
        <f>ROUNDUP(((C103-F104) + ((C103-F104)*D103*36))/36, 0)</f>
        <v>2349</v>
      </c>
      <c r="N104" s="9">
        <f>ROUNDUP(((C103-F104) + ((C103-F104)*D103*48))/48, 0)</f>
        <v>1954</v>
      </c>
    </row>
    <row r="105" spans="1:14" x14ac:dyDescent="0.2">
      <c r="A105" s="29"/>
      <c r="B105" s="29"/>
      <c r="C105" s="29"/>
      <c r="D105" s="29"/>
      <c r="E105" s="8">
        <v>0.1</v>
      </c>
      <c r="F105" s="9">
        <f>ROUND(C103*E105, 0)</f>
        <v>5990</v>
      </c>
      <c r="G105" s="29"/>
      <c r="H105" s="9">
        <f>F105+G103</f>
        <v>6990</v>
      </c>
      <c r="I105" s="9">
        <f>ROUNDUP(((C103-F105) + ((C103-F105)*D103*12))/12, 0)</f>
        <v>5221</v>
      </c>
      <c r="J105" s="9">
        <f>ROUNDUP(((C103-F105) + ((C103-F105)*D103*18))/18, 0)</f>
        <v>3723</v>
      </c>
      <c r="K105" s="9">
        <f>ROUNDUP(((C103-F105) + ((C103-F105)*D103*24))/24, 0)</f>
        <v>2975</v>
      </c>
      <c r="L105" s="9">
        <f>ROUNDUP(((C103-F105) + ((C103-F105)*D103*30))/30, 0)</f>
        <v>2525</v>
      </c>
      <c r="M105" s="9">
        <f>ROUNDUP(((C103-F105) + ((C103-F105)*D103*36))/36, 0)</f>
        <v>2226</v>
      </c>
      <c r="N105" s="9">
        <f>ROUNDUP(((C103-F105) + ((C103-F105)*D103*48))/48, 0)</f>
        <v>1851</v>
      </c>
    </row>
    <row r="106" spans="1:14" x14ac:dyDescent="0.2">
      <c r="A106" s="30"/>
      <c r="B106" s="30"/>
      <c r="C106" s="30"/>
      <c r="D106" s="30"/>
      <c r="E106" s="8">
        <v>0.15</v>
      </c>
      <c r="F106" s="9">
        <f>ROUND(C103*E106, 0)</f>
        <v>8985</v>
      </c>
      <c r="G106" s="30"/>
      <c r="H106" s="9">
        <f>F106+G103</f>
        <v>9985</v>
      </c>
      <c r="I106" s="9">
        <f>ROUNDUP(((C103-F106) + ((C103-F106)*D103*12))/12, 0)</f>
        <v>4931</v>
      </c>
      <c r="J106" s="9">
        <f>ROUNDUP(((C103-F106) + ((C103-F106)*D103*18))/18, 0)</f>
        <v>3516</v>
      </c>
      <c r="K106" s="9">
        <f>ROUNDUP(((C103-F106) + ((C103-F106)*D103*24))/24, 0)</f>
        <v>2809</v>
      </c>
      <c r="L106" s="9">
        <f>ROUNDUP(((C103-F106) + ((C103-F106)*D103*30))/30, 0)</f>
        <v>2385</v>
      </c>
      <c r="M106" s="9">
        <f>ROUNDUP(((C103-F106) + ((C103-F106)*D103*36))/36, 0)</f>
        <v>2102</v>
      </c>
      <c r="N106" s="9">
        <f>ROUNDUP(((C103-F106) + ((C103-F106)*D103*48))/48, 0)</f>
        <v>1749</v>
      </c>
    </row>
    <row r="107" spans="1:14" x14ac:dyDescent="0.2">
      <c r="A107" s="34" t="s">
        <v>64</v>
      </c>
      <c r="B107" s="34" t="s">
        <v>65</v>
      </c>
      <c r="C107" s="31">
        <v>68900</v>
      </c>
      <c r="D107" s="32">
        <v>1.35E-2</v>
      </c>
      <c r="E107" s="3">
        <v>0</v>
      </c>
      <c r="F107" s="4">
        <v>6900</v>
      </c>
      <c r="G107" s="31">
        <v>1000</v>
      </c>
      <c r="H107" s="5">
        <f>F107+G107</f>
        <v>7900</v>
      </c>
      <c r="I107" s="5">
        <f>ROUNDUP(((C107-F107) + ((C107-F107)*D107*12))/12, 0)</f>
        <v>6004</v>
      </c>
      <c r="J107" s="5">
        <f>ROUNDUP(((C107-F107) + ((C107-F107)*D107*18))/18, 0)</f>
        <v>4282</v>
      </c>
      <c r="K107" s="5">
        <f>ROUNDUP(((C107-F107) + ((C107-F107)*D107*24))/24, 0)</f>
        <v>3421</v>
      </c>
      <c r="L107" s="5">
        <f>ROUNDUP(((C107-F107) + ((C107-F107)*D107*30))/30, 0)</f>
        <v>2904</v>
      </c>
      <c r="M107" s="5">
        <f>ROUNDUP(((C107-F107) + ((C107-F107)*D107*36))/36, 0)</f>
        <v>2560</v>
      </c>
      <c r="N107" s="6">
        <f>ROUNDUP(((C107-F107) + ((C107-F107)*D107*48))/48, 0)</f>
        <v>2129</v>
      </c>
    </row>
    <row r="108" spans="1:14" x14ac:dyDescent="0.2">
      <c r="A108" s="29"/>
      <c r="B108" s="29"/>
      <c r="C108" s="29"/>
      <c r="D108" s="29"/>
      <c r="E108" s="8">
        <v>0.05</v>
      </c>
      <c r="F108" s="9">
        <f>ROUND(C107*E108, 0)</f>
        <v>3445</v>
      </c>
      <c r="G108" s="29"/>
      <c r="H108" s="9">
        <f>F108+G107</f>
        <v>4445</v>
      </c>
      <c r="I108" s="9">
        <f>ROUNDUP(((C107-F108) + ((C107-F108)*D107*12))/12, 0)</f>
        <v>6339</v>
      </c>
      <c r="J108" s="9">
        <f>ROUNDUP(((C107-F108) + ((C107-F108)*D107*18))/18, 0)</f>
        <v>4521</v>
      </c>
      <c r="K108" s="9">
        <f>ROUNDUP(((C107-F108) + ((C107-F108)*D107*24))/24, 0)</f>
        <v>3611</v>
      </c>
      <c r="L108" s="9">
        <f>ROUNDUP(((C107-F108) + ((C107-F108)*D107*30))/30, 0)</f>
        <v>3066</v>
      </c>
      <c r="M108" s="9">
        <f>ROUNDUP(((C107-F108) + ((C107-F108)*D107*36))/36, 0)</f>
        <v>2702</v>
      </c>
      <c r="N108" s="9">
        <f>ROUNDUP(((C107-F108) + ((C107-F108)*D107*48))/48, 0)</f>
        <v>2248</v>
      </c>
    </row>
    <row r="109" spans="1:14" x14ac:dyDescent="0.2">
      <c r="A109" s="29"/>
      <c r="B109" s="29"/>
      <c r="C109" s="29"/>
      <c r="D109" s="29"/>
      <c r="E109" s="8">
        <v>0.1</v>
      </c>
      <c r="F109" s="9">
        <f>ROUND(C107*E109, 0)</f>
        <v>6890</v>
      </c>
      <c r="G109" s="29"/>
      <c r="H109" s="9">
        <f>F109+G107</f>
        <v>7890</v>
      </c>
      <c r="I109" s="9">
        <f>ROUNDUP(((C107-F109) + ((C107-F109)*D107*12))/12, 0)</f>
        <v>6005</v>
      </c>
      <c r="J109" s="9">
        <f>ROUNDUP(((C107-F109) + ((C107-F109)*D107*18))/18, 0)</f>
        <v>4283</v>
      </c>
      <c r="K109" s="9">
        <f>ROUNDUP(((C107-F109) + ((C107-F109)*D107*24))/24, 0)</f>
        <v>3421</v>
      </c>
      <c r="L109" s="9">
        <f>ROUNDUP(((C107-F109) + ((C107-F109)*D107*30))/30, 0)</f>
        <v>2905</v>
      </c>
      <c r="M109" s="9">
        <f>ROUNDUP(((C107-F109) + ((C107-F109)*D107*36))/36, 0)</f>
        <v>2560</v>
      </c>
      <c r="N109" s="9">
        <f>ROUNDUP(((C107-F109) + ((C107-F109)*D107*48))/48, 0)</f>
        <v>2130</v>
      </c>
    </row>
    <row r="110" spans="1:14" x14ac:dyDescent="0.2">
      <c r="A110" s="30"/>
      <c r="B110" s="30"/>
      <c r="C110" s="30"/>
      <c r="D110" s="30"/>
      <c r="E110" s="8">
        <v>0.15</v>
      </c>
      <c r="F110" s="9">
        <f>ROUND(C107*E110, 0)</f>
        <v>10335</v>
      </c>
      <c r="G110" s="30"/>
      <c r="H110" s="9">
        <f>F110+G107</f>
        <v>11335</v>
      </c>
      <c r="I110" s="9">
        <f>ROUNDUP(((C107-F110) + ((C107-F110)*D107*12))/12, 0)</f>
        <v>5672</v>
      </c>
      <c r="J110" s="9">
        <f>ROUNDUP(((C107-F110) + ((C107-F110)*D107*18))/18, 0)</f>
        <v>4045</v>
      </c>
      <c r="K110" s="9">
        <f>ROUNDUP(((C107-F110) + ((C107-F110)*D107*24))/24, 0)</f>
        <v>3231</v>
      </c>
      <c r="L110" s="9">
        <f>ROUNDUP(((C107-F110) + ((C107-F110)*D107*30))/30, 0)</f>
        <v>2743</v>
      </c>
      <c r="M110" s="9">
        <f>ROUNDUP(((C107-F110) + ((C107-F110)*D107*36))/36, 0)</f>
        <v>2418</v>
      </c>
      <c r="N110" s="9">
        <f>ROUNDUP(((C107-F110) + ((C107-F110)*D107*48))/48, 0)</f>
        <v>2011</v>
      </c>
    </row>
    <row r="111" spans="1:14" x14ac:dyDescent="0.2">
      <c r="A111" s="34" t="s">
        <v>66</v>
      </c>
      <c r="B111" s="34" t="s">
        <v>67</v>
      </c>
      <c r="C111" s="31">
        <v>123500</v>
      </c>
      <c r="D111" s="32">
        <v>9.0000000000000011E-3</v>
      </c>
      <c r="E111" s="3">
        <v>0</v>
      </c>
      <c r="F111" s="4">
        <v>52500</v>
      </c>
      <c r="G111" s="31">
        <v>2000</v>
      </c>
      <c r="H111" s="5">
        <f>F111+G111</f>
        <v>54500</v>
      </c>
      <c r="I111" s="5">
        <f>ROUNDUP(((C111-F111) + ((C111-F111)*D111*12))/12, 0)</f>
        <v>6556</v>
      </c>
      <c r="J111" s="5">
        <f>ROUNDUP(((C111-F111) + ((C111-F111)*D111*18))/18, 0)</f>
        <v>4584</v>
      </c>
      <c r="K111" s="5">
        <f>ROUNDUP(((C111-F111) + ((C111-F111)*D111*24))/24, 0)</f>
        <v>3598</v>
      </c>
      <c r="L111" s="5">
        <f>ROUNDUP(((C111-F111) + ((C111-F111)*D111*30))/30, 0)</f>
        <v>3006</v>
      </c>
      <c r="M111" s="5">
        <f>ROUNDUP(((C111-F111) + ((C111-F111)*D111*36))/36, 0)</f>
        <v>2612</v>
      </c>
      <c r="N111" s="6">
        <f>ROUNDUP(((C111-F111) + ((C111-F111)*D111*48))/48, 0)</f>
        <v>2119</v>
      </c>
    </row>
    <row r="112" spans="1:14" x14ac:dyDescent="0.2">
      <c r="A112" s="29"/>
      <c r="B112" s="29"/>
      <c r="C112" s="29"/>
      <c r="D112" s="29"/>
      <c r="E112" s="8">
        <v>0.05</v>
      </c>
      <c r="F112" s="9">
        <f>ROUND(C111*E112, 0)</f>
        <v>6175</v>
      </c>
      <c r="G112" s="29"/>
      <c r="H112" s="9">
        <f>F112+G111</f>
        <v>8175</v>
      </c>
      <c r="I112" s="9">
        <f>ROUNDUP(((C111-F112) + ((C111-F112)*D111*12))/12, 0)</f>
        <v>10834</v>
      </c>
      <c r="J112" s="9">
        <f>ROUNDUP(((C111-F112) + ((C111-F112)*D111*18))/18, 0)</f>
        <v>7574</v>
      </c>
      <c r="K112" s="9">
        <f>ROUNDUP(((C111-F112) + ((C111-F112)*D111*24))/24, 0)</f>
        <v>5945</v>
      </c>
      <c r="L112" s="9">
        <f>ROUNDUP(((C111-F112) + ((C111-F112)*D111*30))/30, 0)</f>
        <v>4967</v>
      </c>
      <c r="M112" s="9">
        <f>ROUNDUP(((C111-F112) + ((C111-F112)*D111*36))/36, 0)</f>
        <v>4315</v>
      </c>
      <c r="N112" s="9">
        <f>ROUNDUP(((C111-F112) + ((C111-F112)*D111*48))/48, 0)</f>
        <v>3501</v>
      </c>
    </row>
    <row r="113" spans="1:15" x14ac:dyDescent="0.2">
      <c r="A113" s="29"/>
      <c r="B113" s="29"/>
      <c r="C113" s="29"/>
      <c r="D113" s="29"/>
      <c r="E113" s="8">
        <v>0.1</v>
      </c>
      <c r="F113" s="9">
        <f>ROUND(C111*E113, 0)</f>
        <v>12350</v>
      </c>
      <c r="G113" s="29"/>
      <c r="H113" s="9">
        <f>F113+G111</f>
        <v>14350</v>
      </c>
      <c r="I113" s="9">
        <f>ROUNDUP(((C111-F113) + ((C111-F113)*D111*12))/12, 0)</f>
        <v>10263</v>
      </c>
      <c r="J113" s="9">
        <f>ROUNDUP(((C111-F113) + ((C111-F113)*D111*18))/18, 0)</f>
        <v>7176</v>
      </c>
      <c r="K113" s="9">
        <f>ROUNDUP(((C111-F113) + ((C111-F113)*D111*24))/24, 0)</f>
        <v>5632</v>
      </c>
      <c r="L113" s="9">
        <f>ROUNDUP(((C111-F113) + ((C111-F113)*D111*30))/30, 0)</f>
        <v>4706</v>
      </c>
      <c r="M113" s="9">
        <f>ROUNDUP(((C111-F113) + ((C111-F113)*D111*36))/36, 0)</f>
        <v>4088</v>
      </c>
      <c r="N113" s="9">
        <f>ROUNDUP(((C111-F113) + ((C111-F113)*D111*48))/48, 0)</f>
        <v>3316</v>
      </c>
    </row>
    <row r="114" spans="1:15" x14ac:dyDescent="0.2">
      <c r="A114" s="30"/>
      <c r="B114" s="30"/>
      <c r="C114" s="30"/>
      <c r="D114" s="30"/>
      <c r="E114" s="8">
        <v>0.15</v>
      </c>
      <c r="F114" s="9">
        <f>ROUND(C111*E114, 0)</f>
        <v>18525</v>
      </c>
      <c r="G114" s="30"/>
      <c r="H114" s="9">
        <f>F114+G111</f>
        <v>20525</v>
      </c>
      <c r="I114" s="9">
        <f>ROUNDUP(((C111-F114) + ((C111-F114)*D111*12))/12, 0)</f>
        <v>9693</v>
      </c>
      <c r="J114" s="9">
        <f>ROUNDUP(((C111-F114) + ((C111-F114)*D111*18))/18, 0)</f>
        <v>6777</v>
      </c>
      <c r="K114" s="9">
        <f>ROUNDUP(((C111-F114) + ((C111-F114)*D111*24))/24, 0)</f>
        <v>5319</v>
      </c>
      <c r="L114" s="9">
        <f>ROUNDUP(((C111-F114) + ((C111-F114)*D111*30))/30, 0)</f>
        <v>4444</v>
      </c>
      <c r="M114" s="9">
        <f>ROUNDUP(((C111-F114) + ((C111-F114)*D111*36))/36, 0)</f>
        <v>3861</v>
      </c>
      <c r="N114" s="9">
        <f>ROUNDUP(((C111-F114) + ((C111-F114)*D111*48))/48, 0)</f>
        <v>3132</v>
      </c>
    </row>
    <row r="115" spans="1:15" x14ac:dyDescent="0.2">
      <c r="A115" s="33" t="s">
        <v>0</v>
      </c>
      <c r="B115" s="33" t="s">
        <v>68</v>
      </c>
      <c r="C115" s="33" t="s">
        <v>2</v>
      </c>
      <c r="D115" s="33" t="s">
        <v>3</v>
      </c>
      <c r="E115" s="1"/>
      <c r="F115" s="33" t="s">
        <v>69</v>
      </c>
      <c r="G115" s="33" t="s">
        <v>6</v>
      </c>
      <c r="H115" s="33" t="s">
        <v>7</v>
      </c>
      <c r="I115" s="33" t="s">
        <v>8</v>
      </c>
      <c r="J115" s="33"/>
      <c r="K115" s="33"/>
      <c r="L115" s="33"/>
      <c r="M115" s="1"/>
    </row>
    <row r="116" spans="1:15" x14ac:dyDescent="0.2">
      <c r="A116" s="33"/>
      <c r="B116" s="33"/>
      <c r="C116" s="33"/>
      <c r="D116" s="33"/>
      <c r="E116" s="1"/>
      <c r="F116" s="33"/>
      <c r="G116" s="33"/>
      <c r="H116" s="33"/>
      <c r="I116" s="1" t="s">
        <v>70</v>
      </c>
      <c r="J116" s="1" t="s">
        <v>10</v>
      </c>
      <c r="K116" s="1" t="s">
        <v>71</v>
      </c>
      <c r="L116" s="1" t="s">
        <v>12</v>
      </c>
      <c r="M116" s="1" t="s">
        <v>72</v>
      </c>
      <c r="N116" s="1" t="s">
        <v>73</v>
      </c>
      <c r="O116" s="1"/>
    </row>
    <row r="117" spans="1:15" x14ac:dyDescent="0.2">
      <c r="A117" s="28" t="s">
        <v>74</v>
      </c>
      <c r="B117" s="28" t="s">
        <v>75</v>
      </c>
      <c r="C117" s="31">
        <v>63500</v>
      </c>
      <c r="D117" s="32">
        <v>1.7000000000000001E-2</v>
      </c>
      <c r="E117" s="2"/>
      <c r="F117" s="4">
        <v>6900</v>
      </c>
      <c r="G117" s="31">
        <v>2000</v>
      </c>
      <c r="H117" s="11">
        <f>F117+G117</f>
        <v>8900</v>
      </c>
      <c r="I117" s="11">
        <f>ROUNDUP(((C117-F117) + ((C117-F117)*D117*12))/12, 0)</f>
        <v>5679</v>
      </c>
      <c r="J117" s="11"/>
      <c r="K117" s="11">
        <f>ROUNDUP(((C117-F117) + ((C117-F117)*D117*24))/24, 0)</f>
        <v>3321</v>
      </c>
      <c r="L117" s="11"/>
      <c r="M117" s="11">
        <f>ROUNDUP(((C117-F117) + ((C117-F117)*D117*36))/36, 0)</f>
        <v>2535</v>
      </c>
      <c r="N117" s="11">
        <f>ROUNDUP(((C117-F117) + ((C117-F117)*D117*48))/48, 0)</f>
        <v>2142</v>
      </c>
      <c r="O117" s="28"/>
    </row>
    <row r="118" spans="1:15" x14ac:dyDescent="0.2">
      <c r="A118" s="29"/>
      <c r="B118" s="29"/>
      <c r="C118" s="29"/>
      <c r="D118" s="29"/>
      <c r="E118" s="7"/>
      <c r="F118" s="4">
        <v>7900</v>
      </c>
      <c r="G118" s="29"/>
      <c r="H118" s="11">
        <f>F118+G117</f>
        <v>9900</v>
      </c>
      <c r="I118" s="11">
        <f>ROUNDUP(((C117-F118) + ((C117-F118)*D117*12))/12, 0)</f>
        <v>5579</v>
      </c>
      <c r="J118" s="11"/>
      <c r="K118" s="11">
        <f>ROUNDUP(((C117-F118) + ((C117-F118)*D117*24))/24, 0)</f>
        <v>3262</v>
      </c>
      <c r="L118" s="11"/>
      <c r="M118" s="11">
        <f>ROUNDUP(((C117-F118) + ((C117-F118)*D117*36))/36, 0)</f>
        <v>2490</v>
      </c>
      <c r="N118" s="11">
        <f>ROUNDUP(((C117-F118) + ((C117-F118)*D117*48))/48, 0)</f>
        <v>2104</v>
      </c>
      <c r="O118" s="29"/>
    </row>
    <row r="119" spans="1:15" x14ac:dyDescent="0.2">
      <c r="A119" s="29"/>
      <c r="B119" s="29"/>
      <c r="C119" s="29"/>
      <c r="D119" s="29"/>
      <c r="E119" s="7"/>
      <c r="F119" s="4">
        <v>8900</v>
      </c>
      <c r="G119" s="29"/>
      <c r="H119" s="11">
        <f>F119+G117</f>
        <v>10900</v>
      </c>
      <c r="I119" s="11">
        <f>ROUNDUP(((C117-F119) + ((C117-F119)*D117*12))/12, 0)</f>
        <v>5479</v>
      </c>
      <c r="J119" s="11"/>
      <c r="K119" s="11">
        <f>ROUNDUP(((C117-F119) + ((C117-F119)*D117*24))/24, 0)</f>
        <v>3204</v>
      </c>
      <c r="L119" s="11"/>
      <c r="M119" s="11">
        <f>ROUNDUP(((C117-F119) + ((C117-F119)*D117*36))/36, 0)</f>
        <v>2445</v>
      </c>
      <c r="N119" s="11">
        <f>ROUNDUP(((C117-F119) + ((C117-F119)*D117*48))/48, 0)</f>
        <v>2066</v>
      </c>
      <c r="O119" s="29"/>
    </row>
    <row r="120" spans="1:15" x14ac:dyDescent="0.2">
      <c r="A120" s="30"/>
      <c r="B120" s="30"/>
      <c r="C120" s="30"/>
      <c r="D120" s="30"/>
      <c r="E120" s="10"/>
      <c r="F120" s="4">
        <v>9900</v>
      </c>
      <c r="G120" s="30"/>
      <c r="H120" s="11">
        <f>F120+G117</f>
        <v>11900</v>
      </c>
      <c r="I120" s="11">
        <f>ROUNDUP(((C117-F120) + ((C117-F120)*D117*12))/12, 0)</f>
        <v>5378</v>
      </c>
      <c r="J120" s="11"/>
      <c r="K120" s="11">
        <f>ROUNDUP(((C117-F120) + ((C117-F120)*D117*24))/24, 0)</f>
        <v>3145</v>
      </c>
      <c r="L120" s="11"/>
      <c r="M120" s="11">
        <f>ROUNDUP(((C117-F120) + ((C117-F120)*D117*36))/36, 0)</f>
        <v>2401</v>
      </c>
      <c r="N120" s="11">
        <f>ROUNDUP(((C117-F120) + ((C117-F120)*D117*48))/48, 0)</f>
        <v>2028</v>
      </c>
      <c r="O120" s="30"/>
    </row>
    <row r="121" spans="1:15" x14ac:dyDescent="0.2">
      <c r="A121" s="28" t="s">
        <v>76</v>
      </c>
      <c r="B121" s="28" t="s">
        <v>77</v>
      </c>
      <c r="C121" s="31">
        <v>54000</v>
      </c>
      <c r="D121" s="32">
        <v>1.7000000000000001E-2</v>
      </c>
      <c r="E121" s="2"/>
      <c r="F121" s="4">
        <v>3900</v>
      </c>
      <c r="G121" s="31">
        <v>2000</v>
      </c>
      <c r="H121" s="9">
        <f>F121+G121</f>
        <v>5900</v>
      </c>
      <c r="I121" s="9">
        <f>ROUNDUP(((C121-F121) + ((C121-F121)*D121*12))/12, 0)</f>
        <v>5027</v>
      </c>
      <c r="J121" s="9"/>
      <c r="K121" s="9">
        <f>ROUNDUP(((C121-F121) + ((C121-F121)*D121*24))/24, 0)</f>
        <v>2940</v>
      </c>
      <c r="L121" s="9"/>
      <c r="M121" s="9">
        <f>ROUNDUP(((C121-F121) + ((C121-F121)*D121*36))/36, 0)</f>
        <v>2244</v>
      </c>
      <c r="N121" s="9">
        <f>ROUNDUP(((C121-F121) + ((C121-F121)*D121*48))/48, 0)</f>
        <v>1896</v>
      </c>
      <c r="O121" s="28"/>
    </row>
    <row r="122" spans="1:15" x14ac:dyDescent="0.2">
      <c r="A122" s="29"/>
      <c r="B122" s="29"/>
      <c r="C122" s="29"/>
      <c r="D122" s="29"/>
      <c r="E122" s="7"/>
      <c r="F122" s="4">
        <v>4900</v>
      </c>
      <c r="G122" s="29"/>
      <c r="H122" s="9">
        <f>F122+G121</f>
        <v>6900</v>
      </c>
      <c r="I122" s="9">
        <f>ROUNDUP(((C121-F122) + ((C121-F122)*D121*12))/12, 0)</f>
        <v>4927</v>
      </c>
      <c r="J122" s="9"/>
      <c r="K122" s="9">
        <f>ROUNDUP(((C121-F122) + ((C121-F122)*D121*24))/24, 0)</f>
        <v>2881</v>
      </c>
      <c r="L122" s="9"/>
      <c r="M122" s="9">
        <f>ROUNDUP(((C121-F122) + ((C121-F122)*D121*36))/36, 0)</f>
        <v>2199</v>
      </c>
      <c r="N122" s="9">
        <f>ROUNDUP(((C121-F122) + ((C121-F122)*D121*48))/48, 0)</f>
        <v>1858</v>
      </c>
      <c r="O122" s="29"/>
    </row>
    <row r="123" spans="1:15" x14ac:dyDescent="0.2">
      <c r="A123" s="29"/>
      <c r="B123" s="29"/>
      <c r="C123" s="29"/>
      <c r="D123" s="29"/>
      <c r="E123" s="7"/>
      <c r="F123" s="4">
        <v>5900</v>
      </c>
      <c r="G123" s="29"/>
      <c r="H123" s="9">
        <f>F123+G121</f>
        <v>7900</v>
      </c>
      <c r="I123" s="9">
        <f>ROUNDUP(((C121-F123) + ((C121-F123)*D121*12))/12, 0)</f>
        <v>4827</v>
      </c>
      <c r="J123" s="9"/>
      <c r="K123" s="9">
        <f>ROUNDUP(((C121-F123) + ((C121-F123)*D121*24))/24, 0)</f>
        <v>2822</v>
      </c>
      <c r="L123" s="9"/>
      <c r="M123" s="9">
        <f>ROUNDUP(((C121-F123) + ((C121-F123)*D121*36))/36, 0)</f>
        <v>2154</v>
      </c>
      <c r="N123" s="9">
        <f>ROUNDUP(((C121-F123) + ((C121-F123)*D121*48))/48, 0)</f>
        <v>1820</v>
      </c>
      <c r="O123" s="29"/>
    </row>
    <row r="124" spans="1:15" x14ac:dyDescent="0.2">
      <c r="A124" s="30"/>
      <c r="B124" s="30"/>
      <c r="C124" s="30"/>
      <c r="D124" s="30"/>
      <c r="E124" s="10"/>
      <c r="F124" s="4">
        <v>6900</v>
      </c>
      <c r="G124" s="30"/>
      <c r="H124" s="9">
        <f>F124+G121</f>
        <v>8900</v>
      </c>
      <c r="I124" s="9">
        <f>ROUNDUP(((C121-F124) + ((C121-F124)*D121*12))/12, 0)</f>
        <v>4726</v>
      </c>
      <c r="J124" s="9"/>
      <c r="K124" s="9">
        <f>ROUNDUP(((C121-F124) + ((C121-F124)*D121*24))/24, 0)</f>
        <v>2764</v>
      </c>
      <c r="L124" s="9"/>
      <c r="M124" s="9">
        <f>ROUNDUP(((C121-F124) + ((C121-F124)*D121*36))/36, 0)</f>
        <v>2110</v>
      </c>
      <c r="N124" s="9">
        <f>ROUNDUP(((C121-F124) + ((C121-F124)*D121*48))/48, 0)</f>
        <v>1782</v>
      </c>
      <c r="O124" s="30"/>
    </row>
    <row r="125" spans="1:15" x14ac:dyDescent="0.2">
      <c r="A125" s="28" t="s">
        <v>78</v>
      </c>
      <c r="B125" s="28" t="s">
        <v>79</v>
      </c>
      <c r="C125" s="31">
        <v>85500</v>
      </c>
      <c r="D125" s="32">
        <v>1.7000000000000001E-2</v>
      </c>
      <c r="E125" s="2"/>
      <c r="F125" s="4">
        <v>6900</v>
      </c>
      <c r="G125" s="31">
        <v>2000</v>
      </c>
      <c r="H125" s="11">
        <f>F125+G125</f>
        <v>8900</v>
      </c>
      <c r="I125" s="11">
        <f>ROUNDUP(((C125-F125) + ((C125-F125)*D125*12))/12, 0)</f>
        <v>7887</v>
      </c>
      <c r="J125" s="11"/>
      <c r="K125" s="11">
        <f>ROUNDUP(((C125-F125) + ((C125-F125)*D125*24))/24, 0)</f>
        <v>4612</v>
      </c>
      <c r="L125" s="11"/>
      <c r="M125" s="11">
        <f>ROUNDUP(((C125-F125) + ((C125-F125)*D125*36))/36, 0)</f>
        <v>3520</v>
      </c>
      <c r="N125" s="11">
        <f>ROUNDUP(((C125-F125) + ((C125-F125)*D125*48))/48, 0)</f>
        <v>2974</v>
      </c>
      <c r="O125" s="28"/>
    </row>
    <row r="126" spans="1:15" x14ac:dyDescent="0.2">
      <c r="A126" s="29"/>
      <c r="B126" s="29"/>
      <c r="C126" s="29"/>
      <c r="D126" s="29"/>
      <c r="E126" s="7"/>
      <c r="F126" s="4">
        <v>7900</v>
      </c>
      <c r="G126" s="29"/>
      <c r="H126" s="11">
        <f>F126+G125</f>
        <v>9900</v>
      </c>
      <c r="I126" s="11">
        <f>ROUNDUP(((C125-F126) + ((C125-F126)*D125*12))/12, 0)</f>
        <v>7786</v>
      </c>
      <c r="J126" s="11"/>
      <c r="K126" s="11">
        <f>ROUNDUP(((C125-F126) + ((C125-F126)*D125*24))/24, 0)</f>
        <v>4553</v>
      </c>
      <c r="L126" s="11"/>
      <c r="M126" s="11">
        <f>ROUNDUP(((C125-F126) + ((C125-F126)*D125*36))/36, 0)</f>
        <v>3475</v>
      </c>
      <c r="N126" s="11">
        <f>ROUNDUP(((C125-F126) + ((C125-F126)*D125*48))/48, 0)</f>
        <v>2936</v>
      </c>
      <c r="O126" s="29"/>
    </row>
    <row r="127" spans="1:15" x14ac:dyDescent="0.2">
      <c r="A127" s="29"/>
      <c r="B127" s="29"/>
      <c r="C127" s="29"/>
      <c r="D127" s="29"/>
      <c r="E127" s="7"/>
      <c r="F127" s="4">
        <v>8900</v>
      </c>
      <c r="G127" s="29"/>
      <c r="H127" s="11">
        <f>F127+G125</f>
        <v>10900</v>
      </c>
      <c r="I127" s="11">
        <f>ROUNDUP(((C125-F127) + ((C125-F127)*D125*12))/12, 0)</f>
        <v>7686</v>
      </c>
      <c r="J127" s="11"/>
      <c r="K127" s="11">
        <f>ROUNDUP(((C125-F127) + ((C125-F127)*D125*24))/24, 0)</f>
        <v>4494</v>
      </c>
      <c r="L127" s="11"/>
      <c r="M127" s="11">
        <f>ROUNDUP(((C125-F127) + ((C125-F127)*D125*36))/36, 0)</f>
        <v>3430</v>
      </c>
      <c r="N127" s="11">
        <f>ROUNDUP(((C125-F127) + ((C125-F127)*D125*48))/48, 0)</f>
        <v>2899</v>
      </c>
      <c r="O127" s="29"/>
    </row>
    <row r="128" spans="1:15" x14ac:dyDescent="0.2">
      <c r="A128" s="30"/>
      <c r="B128" s="30"/>
      <c r="C128" s="30"/>
      <c r="D128" s="30"/>
      <c r="E128" s="10"/>
      <c r="F128" s="4">
        <v>10900</v>
      </c>
      <c r="G128" s="30"/>
      <c r="H128" s="11">
        <f>F128+G125</f>
        <v>12900</v>
      </c>
      <c r="I128" s="11">
        <f>ROUNDUP(((C125-F128) + ((C125-F128)*D125*12))/12, 0)</f>
        <v>7485</v>
      </c>
      <c r="J128" s="11"/>
      <c r="K128" s="11">
        <f>ROUNDUP(((C125-F128) + ((C125-F128)*D125*24))/24, 0)</f>
        <v>4377</v>
      </c>
      <c r="L128" s="11"/>
      <c r="M128" s="11">
        <f>ROUNDUP(((C125-F128) + ((C125-F128)*D125*36))/36, 0)</f>
        <v>3341</v>
      </c>
      <c r="N128" s="11">
        <f>ROUNDUP(((C125-F128) + ((C125-F128)*D125*48))/48, 0)</f>
        <v>2823</v>
      </c>
      <c r="O128" s="30"/>
    </row>
    <row r="129" spans="1:15" x14ac:dyDescent="0.2">
      <c r="A129" s="28" t="s">
        <v>80</v>
      </c>
      <c r="B129" s="28" t="s">
        <v>81</v>
      </c>
      <c r="C129" s="31">
        <v>55500</v>
      </c>
      <c r="D129" s="32">
        <v>1.7000000000000001E-2</v>
      </c>
      <c r="E129" s="2"/>
      <c r="F129" s="4">
        <v>3900</v>
      </c>
      <c r="G129" s="31">
        <v>2000</v>
      </c>
      <c r="H129" s="9">
        <f>F129+G129</f>
        <v>5900</v>
      </c>
      <c r="I129" s="9">
        <f>ROUNDUP(((C129-F129) + ((C129-F129)*D129*12))/12, 0)</f>
        <v>5178</v>
      </c>
      <c r="J129" s="9"/>
      <c r="K129" s="9">
        <f>ROUNDUP(((C129-F129) + ((C129-F129)*D129*24))/24, 0)</f>
        <v>3028</v>
      </c>
      <c r="L129" s="9"/>
      <c r="M129" s="9">
        <f>ROUNDUP(((C129-F129) + ((C129-F129)*D129*36))/36, 0)</f>
        <v>2311</v>
      </c>
      <c r="N129" s="9">
        <f>ROUNDUP(((C129-F129) + ((C129-F129)*D129*48))/48, 0)</f>
        <v>1953</v>
      </c>
      <c r="O129" s="28"/>
    </row>
    <row r="130" spans="1:15" x14ac:dyDescent="0.2">
      <c r="A130" s="29"/>
      <c r="B130" s="29"/>
      <c r="C130" s="29"/>
      <c r="D130" s="29"/>
      <c r="E130" s="7"/>
      <c r="F130" s="4">
        <v>4900</v>
      </c>
      <c r="G130" s="29"/>
      <c r="H130" s="9">
        <f>F130+G129</f>
        <v>6900</v>
      </c>
      <c r="I130" s="9">
        <f>ROUNDUP(((C129-F130) + ((C129-F130)*D129*12))/12, 0)</f>
        <v>5077</v>
      </c>
      <c r="J130" s="9"/>
      <c r="K130" s="9">
        <f>ROUNDUP(((C129-F130) + ((C129-F130)*D129*24))/24, 0)</f>
        <v>2969</v>
      </c>
      <c r="L130" s="9"/>
      <c r="M130" s="9">
        <f>ROUNDUP(((C129-F130) + ((C129-F130)*D129*36))/36, 0)</f>
        <v>2266</v>
      </c>
      <c r="N130" s="9">
        <f>ROUNDUP(((C129-F130) + ((C129-F130)*D129*48))/48, 0)</f>
        <v>1915</v>
      </c>
      <c r="O130" s="29"/>
    </row>
    <row r="131" spans="1:15" x14ac:dyDescent="0.2">
      <c r="A131" s="29"/>
      <c r="B131" s="29"/>
      <c r="C131" s="29"/>
      <c r="D131" s="29"/>
      <c r="E131" s="7"/>
      <c r="F131" s="4">
        <v>5900</v>
      </c>
      <c r="G131" s="29"/>
      <c r="H131" s="9">
        <f>F131+G129</f>
        <v>7900</v>
      </c>
      <c r="I131" s="9">
        <f>ROUNDUP(((C129-F131) + ((C129-F131)*D129*12))/12, 0)</f>
        <v>4977</v>
      </c>
      <c r="J131" s="9"/>
      <c r="K131" s="9">
        <f>ROUNDUP(((C129-F131) + ((C129-F131)*D129*24))/24, 0)</f>
        <v>2910</v>
      </c>
      <c r="L131" s="9"/>
      <c r="M131" s="9">
        <f>ROUNDUP(((C129-F131) + ((C129-F131)*D129*36))/36, 0)</f>
        <v>2221</v>
      </c>
      <c r="N131" s="9">
        <f>ROUNDUP(((C129-F131) + ((C129-F131)*D129*48))/48, 0)</f>
        <v>1877</v>
      </c>
      <c r="O131" s="29"/>
    </row>
    <row r="132" spans="1:15" x14ac:dyDescent="0.2">
      <c r="A132" s="30"/>
      <c r="B132" s="30"/>
      <c r="C132" s="30"/>
      <c r="D132" s="30"/>
      <c r="E132" s="10"/>
      <c r="F132" s="4">
        <v>7900</v>
      </c>
      <c r="G132" s="30"/>
      <c r="H132" s="9">
        <f>F132+G129</f>
        <v>9900</v>
      </c>
      <c r="I132" s="9">
        <f>ROUNDUP(((C129-F132) + ((C129-F132)*D129*12))/12, 0)</f>
        <v>4776</v>
      </c>
      <c r="J132" s="9"/>
      <c r="K132" s="9">
        <f>ROUNDUP(((C129-F132) + ((C129-F132)*D129*24))/24, 0)</f>
        <v>2793</v>
      </c>
      <c r="L132" s="9"/>
      <c r="M132" s="9">
        <f>ROUNDUP(((C129-F132) + ((C129-F132)*D129*36))/36, 0)</f>
        <v>2132</v>
      </c>
      <c r="N132" s="9">
        <f>ROUNDUP(((C129-F132) + ((C129-F132)*D129*48))/48, 0)</f>
        <v>1801</v>
      </c>
      <c r="O132" s="30"/>
    </row>
  </sheetData>
  <mergeCells count="181">
    <mergeCell ref="G1:G2"/>
    <mergeCell ref="H1:H2"/>
    <mergeCell ref="I1:N1"/>
    <mergeCell ref="A3:A6"/>
    <mergeCell ref="B3:B6"/>
    <mergeCell ref="C3:C6"/>
    <mergeCell ref="D3:D6"/>
    <mergeCell ref="G3:G6"/>
    <mergeCell ref="A1:A2"/>
    <mergeCell ref="B1:B2"/>
    <mergeCell ref="C1:C2"/>
    <mergeCell ref="D1:D2"/>
    <mergeCell ref="E1:E2"/>
    <mergeCell ref="F1:F2"/>
    <mergeCell ref="A7:A10"/>
    <mergeCell ref="B7:B10"/>
    <mergeCell ref="C7:C10"/>
    <mergeCell ref="D7:D10"/>
    <mergeCell ref="G7:G10"/>
    <mergeCell ref="A11:A14"/>
    <mergeCell ref="B11:B14"/>
    <mergeCell ref="C11:C14"/>
    <mergeCell ref="D11:D14"/>
    <mergeCell ref="G11:G14"/>
    <mergeCell ref="A15:A18"/>
    <mergeCell ref="B15:B18"/>
    <mergeCell ref="C15:C18"/>
    <mergeCell ref="D15:D18"/>
    <mergeCell ref="G15:G18"/>
    <mergeCell ref="A19:A22"/>
    <mergeCell ref="B19:B22"/>
    <mergeCell ref="C19:C22"/>
    <mergeCell ref="D19:D22"/>
    <mergeCell ref="G19:G22"/>
    <mergeCell ref="A23:A26"/>
    <mergeCell ref="B23:B26"/>
    <mergeCell ref="C23:C26"/>
    <mergeCell ref="D23:D26"/>
    <mergeCell ref="G23:G26"/>
    <mergeCell ref="A27:A30"/>
    <mergeCell ref="B27:B30"/>
    <mergeCell ref="C27:C30"/>
    <mergeCell ref="D27:D30"/>
    <mergeCell ref="G27:G30"/>
    <mergeCell ref="A31:A34"/>
    <mergeCell ref="B31:B34"/>
    <mergeCell ref="C31:C34"/>
    <mergeCell ref="D31:D34"/>
    <mergeCell ref="G31:G34"/>
    <mergeCell ref="A35:A38"/>
    <mergeCell ref="B35:B38"/>
    <mergeCell ref="C35:C38"/>
    <mergeCell ref="D35:D38"/>
    <mergeCell ref="G35:G38"/>
    <mergeCell ref="A39:A42"/>
    <mergeCell ref="B39:B42"/>
    <mergeCell ref="C39:C42"/>
    <mergeCell ref="D39:D42"/>
    <mergeCell ref="G39:G42"/>
    <mergeCell ref="A43:A46"/>
    <mergeCell ref="B43:B46"/>
    <mergeCell ref="C43:C46"/>
    <mergeCell ref="D43:D46"/>
    <mergeCell ref="G43:G46"/>
    <mergeCell ref="A47:A50"/>
    <mergeCell ref="B47:B50"/>
    <mergeCell ref="C47:C50"/>
    <mergeCell ref="D47:D50"/>
    <mergeCell ref="G47:G50"/>
    <mergeCell ref="A51:A54"/>
    <mergeCell ref="B51:B54"/>
    <mergeCell ref="C51:C54"/>
    <mergeCell ref="D51:D54"/>
    <mergeCell ref="G51:G54"/>
    <mergeCell ref="A55:A58"/>
    <mergeCell ref="B55:B58"/>
    <mergeCell ref="C55:C58"/>
    <mergeCell ref="D55:D58"/>
    <mergeCell ref="G55:G58"/>
    <mergeCell ref="A59:A62"/>
    <mergeCell ref="B59:B62"/>
    <mergeCell ref="C59:C62"/>
    <mergeCell ref="D59:D62"/>
    <mergeCell ref="G59:G62"/>
    <mergeCell ref="A63:A66"/>
    <mergeCell ref="B63:B66"/>
    <mergeCell ref="C63:C66"/>
    <mergeCell ref="D63:D66"/>
    <mergeCell ref="G63:G66"/>
    <mergeCell ref="A67:A70"/>
    <mergeCell ref="B67:B70"/>
    <mergeCell ref="C67:C70"/>
    <mergeCell ref="D67:D70"/>
    <mergeCell ref="G67:G70"/>
    <mergeCell ref="A71:A74"/>
    <mergeCell ref="B71:B74"/>
    <mergeCell ref="C71:C74"/>
    <mergeCell ref="D71:D74"/>
    <mergeCell ref="G71:G74"/>
    <mergeCell ref="A75:A78"/>
    <mergeCell ref="B75:B78"/>
    <mergeCell ref="C75:C78"/>
    <mergeCell ref="D75:D78"/>
    <mergeCell ref="G75:G78"/>
    <mergeCell ref="D83:D86"/>
    <mergeCell ref="G83:G86"/>
    <mergeCell ref="A95:A98"/>
    <mergeCell ref="B95:B98"/>
    <mergeCell ref="C95:C98"/>
    <mergeCell ref="D95:D98"/>
    <mergeCell ref="G95:G98"/>
    <mergeCell ref="A87:A90"/>
    <mergeCell ref="B87:B90"/>
    <mergeCell ref="C87:C90"/>
    <mergeCell ref="D87:D90"/>
    <mergeCell ref="G87:G90"/>
    <mergeCell ref="A91:A94"/>
    <mergeCell ref="B91:B94"/>
    <mergeCell ref="C91:C94"/>
    <mergeCell ref="D91:D94"/>
    <mergeCell ref="G91:G94"/>
    <mergeCell ref="A79:A82"/>
    <mergeCell ref="B79:B82"/>
    <mergeCell ref="C79:C82"/>
    <mergeCell ref="D79:D82"/>
    <mergeCell ref="G79:G82"/>
    <mergeCell ref="A83:A86"/>
    <mergeCell ref="B83:B86"/>
    <mergeCell ref="C83:C86"/>
    <mergeCell ref="A99:A102"/>
    <mergeCell ref="B99:B102"/>
    <mergeCell ref="C99:C102"/>
    <mergeCell ref="D99:D102"/>
    <mergeCell ref="G99:G102"/>
    <mergeCell ref="A103:A106"/>
    <mergeCell ref="B103:B106"/>
    <mergeCell ref="C103:C106"/>
    <mergeCell ref="D103:D106"/>
    <mergeCell ref="G103:G106"/>
    <mergeCell ref="A107:A110"/>
    <mergeCell ref="B107:B110"/>
    <mergeCell ref="C107:C110"/>
    <mergeCell ref="D107:D110"/>
    <mergeCell ref="G107:G110"/>
    <mergeCell ref="A111:A114"/>
    <mergeCell ref="B111:B114"/>
    <mergeCell ref="C111:C114"/>
    <mergeCell ref="D111:D114"/>
    <mergeCell ref="G111:G114"/>
    <mergeCell ref="A115:A116"/>
    <mergeCell ref="B115:B116"/>
    <mergeCell ref="C115:C116"/>
    <mergeCell ref="D115:D116"/>
    <mergeCell ref="F115:F116"/>
    <mergeCell ref="G115:G116"/>
    <mergeCell ref="H115:H116"/>
    <mergeCell ref="I115:L115"/>
    <mergeCell ref="A121:A124"/>
    <mergeCell ref="B121:B124"/>
    <mergeCell ref="C121:C124"/>
    <mergeCell ref="D121:D124"/>
    <mergeCell ref="G121:G124"/>
    <mergeCell ref="O121:O124"/>
    <mergeCell ref="A117:A120"/>
    <mergeCell ref="B117:B120"/>
    <mergeCell ref="C117:C120"/>
    <mergeCell ref="D117:D120"/>
    <mergeCell ref="G117:G120"/>
    <mergeCell ref="O117:O120"/>
    <mergeCell ref="A129:A132"/>
    <mergeCell ref="B129:B132"/>
    <mergeCell ref="C129:C132"/>
    <mergeCell ref="D129:D132"/>
    <mergeCell ref="G129:G132"/>
    <mergeCell ref="O129:O132"/>
    <mergeCell ref="A125:A128"/>
    <mergeCell ref="B125:B128"/>
    <mergeCell ref="C125:C128"/>
    <mergeCell ref="D125:D128"/>
    <mergeCell ref="G125:G128"/>
    <mergeCell ref="O125:O1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F70C-1DC7-460F-BA40-707C39E728F5}">
  <dimension ref="B1:L22"/>
  <sheetViews>
    <sheetView workbookViewId="0">
      <selection activeCell="B6" sqref="B6:E20"/>
    </sheetView>
  </sheetViews>
  <sheetFormatPr defaultRowHeight="14.25" x14ac:dyDescent="0.2"/>
  <cols>
    <col min="2" max="2" width="55.5" bestFit="1" customWidth="1"/>
  </cols>
  <sheetData>
    <row r="1" spans="2:12" s="12" customFormat="1" ht="24" x14ac:dyDescent="0.2"/>
    <row r="2" spans="2:12" s="12" customFormat="1" ht="24" x14ac:dyDescent="0.2">
      <c r="B2" s="53" t="s">
        <v>82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2:12" s="12" customFormat="1" ht="24" x14ac:dyDescent="0.2">
      <c r="B3" s="54" t="s">
        <v>83</v>
      </c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2:12" s="12" customFormat="1" ht="24" x14ac:dyDescent="0.2"/>
    <row r="5" spans="2:12" s="12" customFormat="1" ht="24" x14ac:dyDescent="0.2">
      <c r="B5" s="55" t="s">
        <v>84</v>
      </c>
      <c r="C5" s="55"/>
      <c r="D5" s="55"/>
      <c r="E5" s="55"/>
      <c r="G5" s="13" t="s">
        <v>85</v>
      </c>
      <c r="H5" s="13"/>
      <c r="I5" s="13"/>
      <c r="J5" s="13"/>
    </row>
    <row r="6" spans="2:12" s="12" customFormat="1" ht="24" x14ac:dyDescent="0.2">
      <c r="B6" s="14" t="s">
        <v>86</v>
      </c>
      <c r="C6" s="56" t="s">
        <v>87</v>
      </c>
      <c r="D6" s="57"/>
      <c r="E6" s="58"/>
      <c r="G6" s="15" t="s">
        <v>88</v>
      </c>
      <c r="H6" s="16"/>
      <c r="I6" s="16"/>
      <c r="J6" s="17"/>
    </row>
    <row r="7" spans="2:12" s="12" customFormat="1" ht="24" x14ac:dyDescent="0.2">
      <c r="B7" s="18" t="s">
        <v>89</v>
      </c>
      <c r="C7" s="41">
        <v>85500</v>
      </c>
      <c r="D7" s="42"/>
      <c r="E7" s="43"/>
      <c r="G7" s="15" t="s">
        <v>90</v>
      </c>
      <c r="H7" s="16"/>
      <c r="I7" s="16"/>
      <c r="J7" s="17"/>
    </row>
    <row r="8" spans="2:12" s="12" customFormat="1" ht="24" x14ac:dyDescent="0.2">
      <c r="B8" s="18" t="s">
        <v>91</v>
      </c>
      <c r="C8" s="41">
        <v>0</v>
      </c>
      <c r="D8" s="42"/>
      <c r="E8" s="43"/>
      <c r="G8" s="19" t="s">
        <v>92</v>
      </c>
      <c r="H8" s="20"/>
      <c r="I8" s="20"/>
      <c r="J8" s="21"/>
    </row>
    <row r="9" spans="2:12" s="12" customFormat="1" ht="24" x14ac:dyDescent="0.2">
      <c r="B9" s="22" t="s">
        <v>93</v>
      </c>
      <c r="C9" s="35">
        <f>C7+C8</f>
        <v>85500</v>
      </c>
      <c r="D9" s="36"/>
      <c r="E9" s="37"/>
      <c r="G9" s="15" t="s">
        <v>94</v>
      </c>
      <c r="H9" s="16"/>
      <c r="I9" s="16"/>
      <c r="J9" s="17"/>
    </row>
    <row r="10" spans="2:12" s="12" customFormat="1" ht="24" x14ac:dyDescent="0.2">
      <c r="B10" s="18" t="s">
        <v>95</v>
      </c>
      <c r="C10" s="41">
        <v>8900</v>
      </c>
      <c r="D10" s="42"/>
      <c r="E10" s="43"/>
      <c r="G10" s="15" t="s">
        <v>96</v>
      </c>
      <c r="H10" s="16"/>
      <c r="I10" s="16"/>
      <c r="J10" s="17"/>
    </row>
    <row r="11" spans="2:12" s="12" customFormat="1" ht="24" x14ac:dyDescent="0.2">
      <c r="B11" s="22" t="s">
        <v>97</v>
      </c>
      <c r="C11" s="35">
        <f>C9-C10</f>
        <v>76600</v>
      </c>
      <c r="D11" s="36"/>
      <c r="E11" s="37"/>
      <c r="G11" s="19" t="s">
        <v>98</v>
      </c>
      <c r="H11" s="20"/>
      <c r="I11" s="20"/>
      <c r="J11" s="21"/>
    </row>
    <row r="12" spans="2:12" s="12" customFormat="1" ht="24" x14ac:dyDescent="0.2">
      <c r="B12" s="18" t="s">
        <v>99</v>
      </c>
      <c r="C12" s="44">
        <v>1.7000000000000001E-2</v>
      </c>
      <c r="D12" s="45"/>
      <c r="E12" s="46"/>
      <c r="G12" s="15" t="s">
        <v>100</v>
      </c>
      <c r="H12" s="16"/>
      <c r="I12" s="16"/>
      <c r="J12" s="17"/>
    </row>
    <row r="13" spans="2:12" s="12" customFormat="1" ht="24" x14ac:dyDescent="0.2">
      <c r="B13" s="18" t="s">
        <v>101</v>
      </c>
      <c r="C13" s="47">
        <v>48</v>
      </c>
      <c r="D13" s="48"/>
      <c r="E13" s="49"/>
      <c r="G13" s="19" t="s">
        <v>102</v>
      </c>
      <c r="H13" s="20"/>
      <c r="I13" s="20"/>
      <c r="J13" s="21"/>
    </row>
    <row r="14" spans="2:12" s="12" customFormat="1" ht="24" x14ac:dyDescent="0.2">
      <c r="B14" s="14" t="s">
        <v>103</v>
      </c>
      <c r="C14" s="50">
        <f>C11*C12*C13</f>
        <v>62505.600000000006</v>
      </c>
      <c r="D14" s="51"/>
      <c r="E14" s="52"/>
      <c r="G14" s="19" t="s">
        <v>104</v>
      </c>
      <c r="H14" s="20"/>
      <c r="I14" s="20"/>
      <c r="J14" s="21"/>
    </row>
    <row r="15" spans="2:12" s="12" customFormat="1" ht="24" x14ac:dyDescent="0.2">
      <c r="B15" s="22" t="s">
        <v>105</v>
      </c>
      <c r="C15" s="35">
        <f>C11+C14</f>
        <v>139105.60000000001</v>
      </c>
      <c r="D15" s="36"/>
      <c r="E15" s="37"/>
      <c r="G15" s="19" t="s">
        <v>106</v>
      </c>
      <c r="H15" s="20"/>
      <c r="I15" s="20"/>
      <c r="J15" s="21"/>
    </row>
    <row r="16" spans="2:12" s="12" customFormat="1" ht="24" x14ac:dyDescent="0.2">
      <c r="B16" s="23" t="s">
        <v>107</v>
      </c>
      <c r="C16" s="38">
        <f>ROUND(C15/C13, 0)</f>
        <v>2898</v>
      </c>
      <c r="D16" s="39"/>
      <c r="E16" s="40"/>
      <c r="G16" s="19" t="s">
        <v>108</v>
      </c>
      <c r="H16" s="20"/>
      <c r="I16" s="20"/>
      <c r="J16" s="21"/>
    </row>
    <row r="17" spans="2:10" s="12" customFormat="1" ht="24" x14ac:dyDescent="0.2">
      <c r="B17" s="24" t="s">
        <v>109</v>
      </c>
      <c r="C17" s="59">
        <v>2500</v>
      </c>
      <c r="D17" s="59"/>
      <c r="E17" s="59"/>
      <c r="G17" s="26"/>
      <c r="H17" s="27"/>
      <c r="I17" s="27"/>
      <c r="J17" s="27"/>
    </row>
    <row r="18" spans="2:10" s="12" customFormat="1" ht="24" x14ac:dyDescent="0.2">
      <c r="B18" s="24" t="s">
        <v>95</v>
      </c>
      <c r="C18" s="60">
        <f>C10</f>
        <v>8900</v>
      </c>
      <c r="D18" s="60"/>
      <c r="E18" s="60"/>
      <c r="G18" s="26"/>
      <c r="H18" s="27"/>
      <c r="I18" s="27"/>
      <c r="J18" s="27"/>
    </row>
    <row r="19" spans="2:10" s="12" customFormat="1" ht="24" x14ac:dyDescent="0.2">
      <c r="B19" s="24"/>
      <c r="C19" s="25"/>
      <c r="D19" s="24"/>
      <c r="E19" s="24"/>
      <c r="G19" s="26"/>
      <c r="H19" s="27"/>
      <c r="I19" s="27"/>
      <c r="J19" s="27"/>
    </row>
    <row r="20" spans="2:10" s="12" customFormat="1" ht="24" x14ac:dyDescent="0.2">
      <c r="B20" s="24" t="s">
        <v>110</v>
      </c>
      <c r="C20" s="60">
        <f>C18+C17</f>
        <v>11400</v>
      </c>
      <c r="D20" s="60"/>
      <c r="E20" s="60"/>
      <c r="G20" s="26"/>
      <c r="H20" s="27"/>
      <c r="I20" s="27"/>
      <c r="J20" s="27"/>
    </row>
    <row r="21" spans="2:10" s="12" customFormat="1" ht="24" x14ac:dyDescent="0.2"/>
    <row r="22" spans="2:10" s="12" customFormat="1" ht="24" x14ac:dyDescent="0.2"/>
  </sheetData>
  <mergeCells count="17">
    <mergeCell ref="C8:E8"/>
    <mergeCell ref="C17:E17"/>
    <mergeCell ref="C18:E18"/>
    <mergeCell ref="C20:E20"/>
    <mergeCell ref="B2:L2"/>
    <mergeCell ref="B3:L3"/>
    <mergeCell ref="B5:E5"/>
    <mergeCell ref="C6:E6"/>
    <mergeCell ref="C7:E7"/>
    <mergeCell ref="C15:E15"/>
    <mergeCell ref="C16:E16"/>
    <mergeCell ref="C9:E9"/>
    <mergeCell ref="C10:E10"/>
    <mergeCell ref="C11:E11"/>
    <mergeCell ref="C12:E12"/>
    <mergeCell ref="C13:E13"/>
    <mergeCell ref="C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ราคารถทั้งหมด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2026-08-29T01:52:02Z</dcterms:created>
  <dcterms:modified xsi:type="dcterms:W3CDTF">2026-08-30T15:02:02Z</dcterms:modified>
</cp:coreProperties>
</file>