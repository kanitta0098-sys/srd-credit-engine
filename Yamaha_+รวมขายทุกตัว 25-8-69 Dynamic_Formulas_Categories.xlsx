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/>
  <mc:AlternateContent xmlns:mc="http://schemas.openxmlformats.org/markup-compatibility/2006">
    <mc:Choice Requires="x15">
      <x15ac:absPath xmlns:x15ac="http://schemas.microsoft.com/office/spreadsheetml/2010/11/ac" url="C:\Users\HP\"/>
    </mc:Choice>
  </mc:AlternateContent>
  <xr:revisionPtr revIDLastSave="0" documentId="13_ncr:1_{F81D8CF1-2E80-4AEE-80FA-4FF4AE6E13D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คำนวณค่างวด Flat Rate" sheetId="7" r:id="rId1"/>
    <sheet name="Auto" sheetId="1" r:id="rId2"/>
    <sheet name="Moped" sheetId="2" r:id="rId3"/>
    <sheet name="Sport" sheetId="3" r:id="rId4"/>
    <sheet name="รถใหม่_Honda" sheetId="4" r:id="rId5"/>
    <sheet name="รถมือสอง_Honda" sheetId="5" r:id="rId6"/>
    <sheet name="ตารางราคาทะเบียน" sheetId="6" r:id="rId7"/>
  </sheets>
  <definedNames>
    <definedName name="_xlnm.Print_Titles" localSheetId="1">Auto!$1:$3</definedName>
    <definedName name="_xlnm.Print_Titles" localSheetId="2">Moped!$1:$3</definedName>
    <definedName name="_xlnm.Print_Titles" localSheetId="3">Sport!$1:$3</definedName>
    <definedName name="_xlnm.Print_Titles" localSheetId="5">รถมือสอง_Honda!$1:$3</definedName>
    <definedName name="_xlnm.Print_Titles" localSheetId="4">รถใหม่_Honda!$1:$3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20" i="7" l="1"/>
  <c r="E18" i="7"/>
  <c r="C11" i="7"/>
  <c r="C14" i="7" s="1"/>
  <c r="C9" i="7"/>
  <c r="C15" i="7" l="1"/>
  <c r="C16" i="7" s="1"/>
  <c r="G11" i="6" l="1"/>
  <c r="F11" i="6"/>
  <c r="C11" i="6"/>
  <c r="B11" i="6"/>
  <c r="K28" i="5"/>
  <c r="J28" i="5"/>
  <c r="I28" i="5"/>
  <c r="H28" i="5"/>
  <c r="G28" i="5"/>
  <c r="K27" i="5"/>
  <c r="J27" i="5"/>
  <c r="I27" i="5"/>
  <c r="H27" i="5"/>
  <c r="G27" i="5"/>
  <c r="K26" i="5"/>
  <c r="J26" i="5"/>
  <c r="I26" i="5"/>
  <c r="H26" i="5"/>
  <c r="G26" i="5"/>
  <c r="K25" i="5"/>
  <c r="J25" i="5"/>
  <c r="I25" i="5"/>
  <c r="H25" i="5"/>
  <c r="G25" i="5"/>
  <c r="K24" i="5"/>
  <c r="J24" i="5"/>
  <c r="I24" i="5"/>
  <c r="H24" i="5"/>
  <c r="G24" i="5"/>
  <c r="K23" i="5"/>
  <c r="J23" i="5"/>
  <c r="I23" i="5"/>
  <c r="H23" i="5"/>
  <c r="G23" i="5"/>
  <c r="K22" i="5"/>
  <c r="J22" i="5"/>
  <c r="I22" i="5"/>
  <c r="H22" i="5"/>
  <c r="G22" i="5"/>
  <c r="K21" i="5"/>
  <c r="J21" i="5"/>
  <c r="I21" i="5"/>
  <c r="H21" i="5"/>
  <c r="G21" i="5"/>
  <c r="K20" i="5"/>
  <c r="J20" i="5"/>
  <c r="I20" i="5"/>
  <c r="H20" i="5"/>
  <c r="G20" i="5"/>
  <c r="K19" i="5"/>
  <c r="J19" i="5"/>
  <c r="I19" i="5"/>
  <c r="H19" i="5"/>
  <c r="G19" i="5"/>
  <c r="K18" i="5"/>
  <c r="J18" i="5"/>
  <c r="I18" i="5"/>
  <c r="H18" i="5"/>
  <c r="G18" i="5"/>
  <c r="K17" i="5"/>
  <c r="J17" i="5"/>
  <c r="I17" i="5"/>
  <c r="H17" i="5"/>
  <c r="G17" i="5"/>
  <c r="K16" i="5"/>
  <c r="J16" i="5"/>
  <c r="I16" i="5"/>
  <c r="H16" i="5"/>
  <c r="G16" i="5"/>
  <c r="K15" i="5"/>
  <c r="J15" i="5"/>
  <c r="I15" i="5"/>
  <c r="H15" i="5"/>
  <c r="G15" i="5"/>
  <c r="K14" i="5"/>
  <c r="J14" i="5"/>
  <c r="I14" i="5"/>
  <c r="H14" i="5"/>
  <c r="G14" i="5"/>
  <c r="K13" i="5"/>
  <c r="J13" i="5"/>
  <c r="I13" i="5"/>
  <c r="H13" i="5"/>
  <c r="G13" i="5"/>
  <c r="K12" i="5"/>
  <c r="J12" i="5"/>
  <c r="I12" i="5"/>
  <c r="H12" i="5"/>
  <c r="G12" i="5"/>
  <c r="K11" i="5"/>
  <c r="J11" i="5"/>
  <c r="I11" i="5"/>
  <c r="H11" i="5"/>
  <c r="G11" i="5"/>
  <c r="K10" i="5"/>
  <c r="J10" i="5"/>
  <c r="I10" i="5"/>
  <c r="H10" i="5"/>
  <c r="G10" i="5"/>
  <c r="K9" i="5"/>
  <c r="J9" i="5"/>
  <c r="I9" i="5"/>
  <c r="H9" i="5"/>
  <c r="G9" i="5"/>
  <c r="K8" i="5"/>
  <c r="J8" i="5"/>
  <c r="I8" i="5"/>
  <c r="H8" i="5"/>
  <c r="G8" i="5"/>
  <c r="K7" i="5"/>
  <c r="J7" i="5"/>
  <c r="I7" i="5"/>
  <c r="H7" i="5"/>
  <c r="G7" i="5"/>
  <c r="K6" i="5"/>
  <c r="J6" i="5"/>
  <c r="I6" i="5"/>
  <c r="H6" i="5"/>
  <c r="G6" i="5"/>
  <c r="K5" i="5"/>
  <c r="J5" i="5"/>
  <c r="I5" i="5"/>
  <c r="H5" i="5"/>
  <c r="G5" i="5"/>
  <c r="K4" i="5"/>
  <c r="J4" i="5"/>
  <c r="I4" i="5"/>
  <c r="H4" i="5"/>
  <c r="G4" i="5"/>
  <c r="K19" i="4"/>
  <c r="J19" i="4"/>
  <c r="I19" i="4"/>
  <c r="H19" i="4"/>
  <c r="G19" i="4"/>
  <c r="K18" i="4"/>
  <c r="J18" i="4"/>
  <c r="I18" i="4"/>
  <c r="H18" i="4"/>
  <c r="G18" i="4"/>
  <c r="K17" i="4"/>
  <c r="J17" i="4"/>
  <c r="I17" i="4"/>
  <c r="H17" i="4"/>
  <c r="G17" i="4"/>
  <c r="K16" i="4"/>
  <c r="J16" i="4"/>
  <c r="I16" i="4"/>
  <c r="H16" i="4"/>
  <c r="G16" i="4"/>
  <c r="K15" i="4"/>
  <c r="J15" i="4"/>
  <c r="I15" i="4"/>
  <c r="H15" i="4"/>
  <c r="G15" i="4"/>
  <c r="K14" i="4"/>
  <c r="J14" i="4"/>
  <c r="I14" i="4"/>
  <c r="H14" i="4"/>
  <c r="G14" i="4"/>
  <c r="K13" i="4"/>
  <c r="J13" i="4"/>
  <c r="I13" i="4"/>
  <c r="H13" i="4"/>
  <c r="G13" i="4"/>
  <c r="K12" i="4"/>
  <c r="J12" i="4"/>
  <c r="I12" i="4"/>
  <c r="H12" i="4"/>
  <c r="G12" i="4"/>
  <c r="K11" i="4"/>
  <c r="J11" i="4"/>
  <c r="I11" i="4"/>
  <c r="H11" i="4"/>
  <c r="G11" i="4"/>
  <c r="K10" i="4"/>
  <c r="J10" i="4"/>
  <c r="I10" i="4"/>
  <c r="H10" i="4"/>
  <c r="G10" i="4"/>
  <c r="K9" i="4"/>
  <c r="J9" i="4"/>
  <c r="I9" i="4"/>
  <c r="H9" i="4"/>
  <c r="G9" i="4"/>
  <c r="K8" i="4"/>
  <c r="J8" i="4"/>
  <c r="I8" i="4"/>
  <c r="H8" i="4"/>
  <c r="G8" i="4"/>
  <c r="K7" i="4"/>
  <c r="J7" i="4"/>
  <c r="I7" i="4"/>
  <c r="H7" i="4"/>
  <c r="G7" i="4"/>
  <c r="K6" i="4"/>
  <c r="J6" i="4"/>
  <c r="I6" i="4"/>
  <c r="H6" i="4"/>
  <c r="G6" i="4"/>
  <c r="K5" i="4"/>
  <c r="J5" i="4"/>
  <c r="I5" i="4"/>
  <c r="H5" i="4"/>
  <c r="G5" i="4"/>
  <c r="K4" i="4"/>
  <c r="J4" i="4"/>
  <c r="I4" i="4"/>
  <c r="H4" i="4"/>
  <c r="G4" i="4"/>
  <c r="F19" i="3"/>
  <c r="N19" i="3" s="1"/>
  <c r="F18" i="3"/>
  <c r="K17" i="3"/>
  <c r="F17" i="3"/>
  <c r="N16" i="3"/>
  <c r="M16" i="3"/>
  <c r="L16" i="3"/>
  <c r="K16" i="3"/>
  <c r="J16" i="3"/>
  <c r="I16" i="3"/>
  <c r="H16" i="3"/>
  <c r="J15" i="3"/>
  <c r="F15" i="3"/>
  <c r="F14" i="3"/>
  <c r="J13" i="3"/>
  <c r="F13" i="3"/>
  <c r="N12" i="3"/>
  <c r="M12" i="3"/>
  <c r="L12" i="3"/>
  <c r="K12" i="3"/>
  <c r="J12" i="3"/>
  <c r="I12" i="3"/>
  <c r="H12" i="3"/>
  <c r="N11" i="3"/>
  <c r="M11" i="3"/>
  <c r="L11" i="3"/>
  <c r="J11" i="3"/>
  <c r="I11" i="3"/>
  <c r="H11" i="3"/>
  <c r="F11" i="3"/>
  <c r="K11" i="3" s="1"/>
  <c r="N10" i="3"/>
  <c r="M10" i="3"/>
  <c r="L10" i="3"/>
  <c r="J10" i="3"/>
  <c r="I10" i="3"/>
  <c r="H10" i="3"/>
  <c r="F10" i="3"/>
  <c r="K10" i="3" s="1"/>
  <c r="N9" i="3"/>
  <c r="M9" i="3"/>
  <c r="L9" i="3"/>
  <c r="J9" i="3"/>
  <c r="I9" i="3"/>
  <c r="H9" i="3"/>
  <c r="F9" i="3"/>
  <c r="K9" i="3" s="1"/>
  <c r="N8" i="3"/>
  <c r="M8" i="3"/>
  <c r="L8" i="3"/>
  <c r="K8" i="3"/>
  <c r="J8" i="3"/>
  <c r="I8" i="3"/>
  <c r="H8" i="3"/>
  <c r="M7" i="3"/>
  <c r="I7" i="3"/>
  <c r="H7" i="3"/>
  <c r="F7" i="3"/>
  <c r="K7" i="3" s="1"/>
  <c r="F6" i="3"/>
  <c r="M5" i="3"/>
  <c r="I5" i="3"/>
  <c r="H5" i="3"/>
  <c r="F5" i="3"/>
  <c r="K5" i="3" s="1"/>
  <c r="N4" i="3"/>
  <c r="M4" i="3"/>
  <c r="L4" i="3"/>
  <c r="K4" i="3"/>
  <c r="J4" i="3"/>
  <c r="I4" i="3"/>
  <c r="H4" i="3"/>
  <c r="N23" i="2"/>
  <c r="K23" i="2"/>
  <c r="J23" i="2"/>
  <c r="H23" i="2"/>
  <c r="F23" i="2"/>
  <c r="N22" i="2"/>
  <c r="F22" i="2"/>
  <c r="N21" i="2"/>
  <c r="K21" i="2"/>
  <c r="J21" i="2"/>
  <c r="H21" i="2"/>
  <c r="F21" i="2"/>
  <c r="N20" i="2"/>
  <c r="M20" i="2"/>
  <c r="L20" i="2"/>
  <c r="K20" i="2"/>
  <c r="J20" i="2"/>
  <c r="I20" i="2"/>
  <c r="H20" i="2"/>
  <c r="M19" i="2"/>
  <c r="K19" i="2"/>
  <c r="F19" i="2"/>
  <c r="N18" i="2"/>
  <c r="J18" i="2"/>
  <c r="I18" i="2"/>
  <c r="F18" i="2"/>
  <c r="K18" i="2" s="1"/>
  <c r="M17" i="2"/>
  <c r="K17" i="2"/>
  <c r="F17" i="2"/>
  <c r="N16" i="2"/>
  <c r="M16" i="2"/>
  <c r="L16" i="2"/>
  <c r="K16" i="2"/>
  <c r="J16" i="2"/>
  <c r="I16" i="2"/>
  <c r="H16" i="2"/>
  <c r="N15" i="2"/>
  <c r="M15" i="2"/>
  <c r="L15" i="2"/>
  <c r="J15" i="2"/>
  <c r="I15" i="2"/>
  <c r="H15" i="2"/>
  <c r="F15" i="2"/>
  <c r="K15" i="2" s="1"/>
  <c r="N14" i="2"/>
  <c r="M14" i="2"/>
  <c r="L14" i="2"/>
  <c r="J14" i="2"/>
  <c r="I14" i="2"/>
  <c r="H14" i="2"/>
  <c r="F14" i="2"/>
  <c r="K14" i="2" s="1"/>
  <c r="N13" i="2"/>
  <c r="M13" i="2"/>
  <c r="L13" i="2"/>
  <c r="J13" i="2"/>
  <c r="I13" i="2"/>
  <c r="H13" i="2"/>
  <c r="F13" i="2"/>
  <c r="K13" i="2" s="1"/>
  <c r="N12" i="2"/>
  <c r="M12" i="2"/>
  <c r="L12" i="2"/>
  <c r="K12" i="2"/>
  <c r="J12" i="2"/>
  <c r="I12" i="2"/>
  <c r="H12" i="2"/>
  <c r="F11" i="2"/>
  <c r="M10" i="2"/>
  <c r="K10" i="2"/>
  <c r="I10" i="2"/>
  <c r="H10" i="2"/>
  <c r="F10" i="2"/>
  <c r="L9" i="2"/>
  <c r="H9" i="2"/>
  <c r="F9" i="2"/>
  <c r="M9" i="2" s="1"/>
  <c r="N8" i="2"/>
  <c r="M8" i="2"/>
  <c r="L8" i="2"/>
  <c r="K8" i="2"/>
  <c r="J8" i="2"/>
  <c r="I8" i="2"/>
  <c r="H8" i="2"/>
  <c r="N7" i="2"/>
  <c r="J7" i="2"/>
  <c r="H7" i="2"/>
  <c r="F7" i="2"/>
  <c r="K7" i="2" s="1"/>
  <c r="F6" i="2"/>
  <c r="K6" i="2" s="1"/>
  <c r="N5" i="2"/>
  <c r="J5" i="2"/>
  <c r="H5" i="2"/>
  <c r="F5" i="2"/>
  <c r="K5" i="2" s="1"/>
  <c r="N4" i="2"/>
  <c r="M4" i="2"/>
  <c r="L4" i="2"/>
  <c r="K4" i="2"/>
  <c r="J4" i="2"/>
  <c r="I4" i="2"/>
  <c r="H4" i="2"/>
  <c r="N79" i="1"/>
  <c r="K79" i="1"/>
  <c r="J79" i="1"/>
  <c r="I79" i="1"/>
  <c r="F79" i="1"/>
  <c r="N78" i="1"/>
  <c r="F78" i="1"/>
  <c r="I78" i="1" s="1"/>
  <c r="N77" i="1"/>
  <c r="K77" i="1"/>
  <c r="J77" i="1"/>
  <c r="I77" i="1"/>
  <c r="F77" i="1"/>
  <c r="N76" i="1"/>
  <c r="M76" i="1"/>
  <c r="L76" i="1"/>
  <c r="K76" i="1"/>
  <c r="J76" i="1"/>
  <c r="I76" i="1"/>
  <c r="H76" i="1"/>
  <c r="N75" i="1"/>
  <c r="M75" i="1"/>
  <c r="L75" i="1"/>
  <c r="J75" i="1"/>
  <c r="I75" i="1"/>
  <c r="H75" i="1"/>
  <c r="F75" i="1"/>
  <c r="K75" i="1" s="1"/>
  <c r="N74" i="1"/>
  <c r="M74" i="1"/>
  <c r="L74" i="1"/>
  <c r="J74" i="1"/>
  <c r="I74" i="1"/>
  <c r="H74" i="1"/>
  <c r="F74" i="1"/>
  <c r="K74" i="1" s="1"/>
  <c r="N73" i="1"/>
  <c r="M73" i="1"/>
  <c r="L73" i="1"/>
  <c r="J73" i="1"/>
  <c r="I73" i="1"/>
  <c r="H73" i="1"/>
  <c r="F73" i="1"/>
  <c r="K73" i="1" s="1"/>
  <c r="N72" i="1"/>
  <c r="M72" i="1"/>
  <c r="L72" i="1"/>
  <c r="K72" i="1"/>
  <c r="J72" i="1"/>
  <c r="I72" i="1"/>
  <c r="H72" i="1"/>
  <c r="L71" i="1"/>
  <c r="K71" i="1"/>
  <c r="F71" i="1"/>
  <c r="M70" i="1"/>
  <c r="I70" i="1"/>
  <c r="H70" i="1"/>
  <c r="F70" i="1"/>
  <c r="K70" i="1" s="1"/>
  <c r="L69" i="1"/>
  <c r="K69" i="1"/>
  <c r="F69" i="1"/>
  <c r="N68" i="1"/>
  <c r="M68" i="1"/>
  <c r="L68" i="1"/>
  <c r="K68" i="1"/>
  <c r="J68" i="1"/>
  <c r="I68" i="1"/>
  <c r="H68" i="1"/>
  <c r="F67" i="1"/>
  <c r="L67" i="1" s="1"/>
  <c r="N66" i="1"/>
  <c r="K66" i="1"/>
  <c r="J66" i="1"/>
  <c r="H66" i="1"/>
  <c r="F66" i="1"/>
  <c r="L65" i="1"/>
  <c r="H65" i="1"/>
  <c r="F65" i="1"/>
  <c r="N65" i="1" s="1"/>
  <c r="N64" i="1"/>
  <c r="M64" i="1"/>
  <c r="L64" i="1"/>
  <c r="K64" i="1"/>
  <c r="J64" i="1"/>
  <c r="I64" i="1"/>
  <c r="H64" i="1"/>
  <c r="N63" i="1"/>
  <c r="J63" i="1"/>
  <c r="I63" i="1"/>
  <c r="F63" i="1"/>
  <c r="K63" i="1" s="1"/>
  <c r="F62" i="1"/>
  <c r="N61" i="1"/>
  <c r="J61" i="1"/>
  <c r="I61" i="1"/>
  <c r="F61" i="1"/>
  <c r="K61" i="1" s="1"/>
  <c r="N60" i="1"/>
  <c r="M60" i="1"/>
  <c r="L60" i="1"/>
  <c r="K60" i="1"/>
  <c r="J60" i="1"/>
  <c r="I60" i="1"/>
  <c r="H60" i="1"/>
  <c r="N59" i="1"/>
  <c r="M59" i="1"/>
  <c r="L59" i="1"/>
  <c r="J59" i="1"/>
  <c r="I59" i="1"/>
  <c r="H59" i="1"/>
  <c r="F59" i="1"/>
  <c r="K59" i="1" s="1"/>
  <c r="N58" i="1"/>
  <c r="M58" i="1"/>
  <c r="L58" i="1"/>
  <c r="J58" i="1"/>
  <c r="I58" i="1"/>
  <c r="H58" i="1"/>
  <c r="F58" i="1"/>
  <c r="K58" i="1" s="1"/>
  <c r="N57" i="1"/>
  <c r="M57" i="1"/>
  <c r="L57" i="1"/>
  <c r="J57" i="1"/>
  <c r="I57" i="1"/>
  <c r="H57" i="1"/>
  <c r="F57" i="1"/>
  <c r="K57" i="1" s="1"/>
  <c r="N56" i="1"/>
  <c r="M56" i="1"/>
  <c r="L56" i="1"/>
  <c r="K56" i="1"/>
  <c r="J56" i="1"/>
  <c r="I56" i="1"/>
  <c r="H56" i="1"/>
  <c r="M55" i="1"/>
  <c r="K55" i="1"/>
  <c r="I55" i="1"/>
  <c r="H55" i="1"/>
  <c r="F55" i="1"/>
  <c r="M54" i="1"/>
  <c r="F54" i="1"/>
  <c r="H54" i="1" s="1"/>
  <c r="M53" i="1"/>
  <c r="K53" i="1"/>
  <c r="I53" i="1"/>
  <c r="H53" i="1"/>
  <c r="F53" i="1"/>
  <c r="N52" i="1"/>
  <c r="M52" i="1"/>
  <c r="L52" i="1"/>
  <c r="K52" i="1"/>
  <c r="J52" i="1"/>
  <c r="I52" i="1"/>
  <c r="H52" i="1"/>
  <c r="L51" i="1"/>
  <c r="F51" i="1"/>
  <c r="L50" i="1"/>
  <c r="F50" i="1"/>
  <c r="L49" i="1"/>
  <c r="F49" i="1"/>
  <c r="H49" i="1" s="1"/>
  <c r="N48" i="1"/>
  <c r="M48" i="1"/>
  <c r="L48" i="1"/>
  <c r="K48" i="1"/>
  <c r="J48" i="1"/>
  <c r="I48" i="1"/>
  <c r="H48" i="1"/>
  <c r="N47" i="1"/>
  <c r="K47" i="1"/>
  <c r="J47" i="1"/>
  <c r="F47" i="1"/>
  <c r="N46" i="1"/>
  <c r="K46" i="1"/>
  <c r="J46" i="1"/>
  <c r="F46" i="1"/>
  <c r="N45" i="1"/>
  <c r="K45" i="1"/>
  <c r="J45" i="1"/>
  <c r="F45" i="1"/>
  <c r="N44" i="1"/>
  <c r="M44" i="1"/>
  <c r="L44" i="1"/>
  <c r="K44" i="1"/>
  <c r="J44" i="1"/>
  <c r="I44" i="1"/>
  <c r="H44" i="1"/>
  <c r="N43" i="1"/>
  <c r="M43" i="1"/>
  <c r="J43" i="1"/>
  <c r="I43" i="1"/>
  <c r="L43" i="1"/>
  <c r="N42" i="1"/>
  <c r="M42" i="1"/>
  <c r="J42" i="1"/>
  <c r="I42" i="1"/>
  <c r="F42" i="1"/>
  <c r="L42" i="1" s="1"/>
  <c r="N41" i="1"/>
  <c r="M41" i="1"/>
  <c r="J41" i="1"/>
  <c r="I41" i="1"/>
  <c r="F41" i="1"/>
  <c r="L41" i="1" s="1"/>
  <c r="N40" i="1"/>
  <c r="M40" i="1"/>
  <c r="L40" i="1"/>
  <c r="K40" i="1"/>
  <c r="J40" i="1"/>
  <c r="I40" i="1"/>
  <c r="H40" i="1"/>
  <c r="M39" i="1"/>
  <c r="L39" i="1"/>
  <c r="I39" i="1"/>
  <c r="H39" i="1"/>
  <c r="F39" i="1"/>
  <c r="K39" i="1" s="1"/>
  <c r="M38" i="1"/>
  <c r="L38" i="1"/>
  <c r="I38" i="1"/>
  <c r="H38" i="1"/>
  <c r="F38" i="1"/>
  <c r="K38" i="1" s="1"/>
  <c r="M37" i="1"/>
  <c r="L37" i="1"/>
  <c r="I37" i="1"/>
  <c r="H37" i="1"/>
  <c r="F37" i="1"/>
  <c r="K37" i="1" s="1"/>
  <c r="N36" i="1"/>
  <c r="M36" i="1"/>
  <c r="L36" i="1"/>
  <c r="K36" i="1"/>
  <c r="J36" i="1"/>
  <c r="I36" i="1"/>
  <c r="H36" i="1"/>
  <c r="K35" i="1"/>
  <c r="H35" i="1"/>
  <c r="F35" i="1"/>
  <c r="L35" i="1" s="1"/>
  <c r="K34" i="1"/>
  <c r="H34" i="1"/>
  <c r="F34" i="1"/>
  <c r="L34" i="1" s="1"/>
  <c r="K33" i="1"/>
  <c r="H33" i="1"/>
  <c r="F33" i="1"/>
  <c r="L33" i="1" s="1"/>
  <c r="N32" i="1"/>
  <c r="M32" i="1"/>
  <c r="L32" i="1"/>
  <c r="K32" i="1"/>
  <c r="J32" i="1"/>
  <c r="I32" i="1"/>
  <c r="H32" i="1"/>
  <c r="F31" i="1"/>
  <c r="K31" i="1" s="1"/>
  <c r="F30" i="1"/>
  <c r="K30" i="1" s="1"/>
  <c r="F29" i="1"/>
  <c r="N28" i="1"/>
  <c r="M28" i="1"/>
  <c r="L28" i="1"/>
  <c r="K28" i="1"/>
  <c r="J28" i="1"/>
  <c r="I28" i="1"/>
  <c r="H28" i="1"/>
  <c r="N27" i="1"/>
  <c r="M27" i="1"/>
  <c r="J27" i="1"/>
  <c r="I27" i="1"/>
  <c r="F27" i="1"/>
  <c r="L27" i="1" s="1"/>
  <c r="N26" i="1"/>
  <c r="M26" i="1"/>
  <c r="J26" i="1"/>
  <c r="I26" i="1"/>
  <c r="F26" i="1"/>
  <c r="L26" i="1" s="1"/>
  <c r="N25" i="1"/>
  <c r="M25" i="1"/>
  <c r="J25" i="1"/>
  <c r="I25" i="1"/>
  <c r="F25" i="1"/>
  <c r="L25" i="1" s="1"/>
  <c r="N24" i="1"/>
  <c r="M24" i="1"/>
  <c r="L24" i="1"/>
  <c r="K24" i="1"/>
  <c r="J24" i="1"/>
  <c r="I24" i="1"/>
  <c r="H24" i="1"/>
  <c r="M23" i="1"/>
  <c r="L23" i="1"/>
  <c r="I23" i="1"/>
  <c r="H23" i="1"/>
  <c r="F23" i="1"/>
  <c r="K23" i="1" s="1"/>
  <c r="M22" i="1"/>
  <c r="L22" i="1"/>
  <c r="I22" i="1"/>
  <c r="H22" i="1"/>
  <c r="F22" i="1"/>
  <c r="K22" i="1" s="1"/>
  <c r="M21" i="1"/>
  <c r="L21" i="1"/>
  <c r="I21" i="1"/>
  <c r="H21" i="1"/>
  <c r="F21" i="1"/>
  <c r="K21" i="1" s="1"/>
  <c r="N20" i="1"/>
  <c r="M20" i="1"/>
  <c r="L20" i="1"/>
  <c r="K20" i="1"/>
  <c r="J20" i="1"/>
  <c r="I20" i="1"/>
  <c r="H20" i="1"/>
  <c r="L19" i="1"/>
  <c r="F19" i="1"/>
  <c r="H19" i="1" s="1"/>
  <c r="L18" i="1"/>
  <c r="F18" i="1"/>
  <c r="L17" i="1"/>
  <c r="F17" i="1"/>
  <c r="N16" i="1"/>
  <c r="M16" i="1"/>
  <c r="L16" i="1"/>
  <c r="K16" i="1"/>
  <c r="J16" i="1"/>
  <c r="I16" i="1"/>
  <c r="H16" i="1"/>
  <c r="N15" i="1"/>
  <c r="K15" i="1"/>
  <c r="J15" i="1"/>
  <c r="F15" i="1"/>
  <c r="N14" i="1"/>
  <c r="K14" i="1"/>
  <c r="J14" i="1"/>
  <c r="F14" i="1"/>
  <c r="N13" i="1"/>
  <c r="K13" i="1"/>
  <c r="J13" i="1"/>
  <c r="F13" i="1"/>
  <c r="N12" i="1"/>
  <c r="M12" i="1"/>
  <c r="L12" i="1"/>
  <c r="K12" i="1"/>
  <c r="J12" i="1"/>
  <c r="I12" i="1"/>
  <c r="H12" i="1"/>
  <c r="N11" i="1"/>
  <c r="M11" i="1"/>
  <c r="J11" i="1"/>
  <c r="I11" i="1"/>
  <c r="F11" i="1"/>
  <c r="L11" i="1" s="1"/>
  <c r="N10" i="1"/>
  <c r="M10" i="1"/>
  <c r="J10" i="1"/>
  <c r="I10" i="1"/>
  <c r="F10" i="1"/>
  <c r="L10" i="1" s="1"/>
  <c r="N9" i="1"/>
  <c r="J9" i="1"/>
  <c r="F9" i="1"/>
  <c r="M9" i="1" s="1"/>
  <c r="N8" i="1"/>
  <c r="M8" i="1"/>
  <c r="L8" i="1"/>
  <c r="K8" i="1"/>
  <c r="J8" i="1"/>
  <c r="I8" i="1"/>
  <c r="H8" i="1"/>
  <c r="N7" i="1"/>
  <c r="M7" i="1"/>
  <c r="L7" i="1"/>
  <c r="J7" i="1"/>
  <c r="I7" i="1"/>
  <c r="H7" i="1"/>
  <c r="F7" i="1"/>
  <c r="K7" i="1" s="1"/>
  <c r="N6" i="1"/>
  <c r="M6" i="1"/>
  <c r="L6" i="1"/>
  <c r="J6" i="1"/>
  <c r="I6" i="1"/>
  <c r="H6" i="1"/>
  <c r="F6" i="1"/>
  <c r="K6" i="1" s="1"/>
  <c r="N5" i="1"/>
  <c r="M5" i="1"/>
  <c r="L5" i="1"/>
  <c r="J5" i="1"/>
  <c r="I5" i="1"/>
  <c r="H5" i="1"/>
  <c r="F5" i="1"/>
  <c r="K5" i="1" s="1"/>
  <c r="N4" i="1"/>
  <c r="M4" i="1"/>
  <c r="L4" i="1"/>
  <c r="K4" i="1"/>
  <c r="J4" i="1"/>
  <c r="I4" i="1"/>
  <c r="H4" i="1"/>
  <c r="K9" i="1" l="1"/>
  <c r="N17" i="1"/>
  <c r="J17" i="1"/>
  <c r="M17" i="1"/>
  <c r="I17" i="1"/>
  <c r="N50" i="1"/>
  <c r="J50" i="1"/>
  <c r="M50" i="1"/>
  <c r="I50" i="1"/>
  <c r="L62" i="1"/>
  <c r="H62" i="1"/>
  <c r="J62" i="1"/>
  <c r="N62" i="1"/>
  <c r="I62" i="1"/>
  <c r="M22" i="2"/>
  <c r="I22" i="2"/>
  <c r="K22" i="2"/>
  <c r="J22" i="2"/>
  <c r="N6" i="3"/>
  <c r="J6" i="3"/>
  <c r="I6" i="3"/>
  <c r="M6" i="3"/>
  <c r="H6" i="3"/>
  <c r="M29" i="1"/>
  <c r="I29" i="1"/>
  <c r="L29" i="1"/>
  <c r="H29" i="1"/>
  <c r="N11" i="2"/>
  <c r="J11" i="2"/>
  <c r="K11" i="2"/>
  <c r="I11" i="2"/>
  <c r="N18" i="1"/>
  <c r="J18" i="1"/>
  <c r="M18" i="1"/>
  <c r="I18" i="1"/>
  <c r="J29" i="1"/>
  <c r="J31" i="1"/>
  <c r="M51" i="1"/>
  <c r="J51" i="1"/>
  <c r="N51" i="1"/>
  <c r="I51" i="1"/>
  <c r="H67" i="1"/>
  <c r="M14" i="3"/>
  <c r="I14" i="3"/>
  <c r="L14" i="3"/>
  <c r="H14" i="3"/>
  <c r="N14" i="3"/>
  <c r="K14" i="3"/>
  <c r="H9" i="1"/>
  <c r="L9" i="1"/>
  <c r="M13" i="1"/>
  <c r="I13" i="1"/>
  <c r="L13" i="1"/>
  <c r="H13" i="1"/>
  <c r="M14" i="1"/>
  <c r="I14" i="1"/>
  <c r="L14" i="1"/>
  <c r="H14" i="1"/>
  <c r="M15" i="1"/>
  <c r="I15" i="1"/>
  <c r="L15" i="1"/>
  <c r="H15" i="1"/>
  <c r="H17" i="1"/>
  <c r="H18" i="1"/>
  <c r="K29" i="1"/>
  <c r="M45" i="1"/>
  <c r="I45" i="1"/>
  <c r="L45" i="1"/>
  <c r="H45" i="1"/>
  <c r="M46" i="1"/>
  <c r="I46" i="1"/>
  <c r="L46" i="1"/>
  <c r="H46" i="1"/>
  <c r="M47" i="1"/>
  <c r="I47" i="1"/>
  <c r="L47" i="1"/>
  <c r="H47" i="1"/>
  <c r="H50" i="1"/>
  <c r="H51" i="1"/>
  <c r="K62" i="1"/>
  <c r="N71" i="1"/>
  <c r="J71" i="1"/>
  <c r="I71" i="1"/>
  <c r="M71" i="1"/>
  <c r="H71" i="1"/>
  <c r="L11" i="2"/>
  <c r="L19" i="2"/>
  <c r="H19" i="2"/>
  <c r="J19" i="2"/>
  <c r="N19" i="2"/>
  <c r="I19" i="2"/>
  <c r="H22" i="2"/>
  <c r="K6" i="3"/>
  <c r="J14" i="3"/>
  <c r="N18" i="3"/>
  <c r="J18" i="3"/>
  <c r="M18" i="3"/>
  <c r="I18" i="3"/>
  <c r="L18" i="3"/>
  <c r="H18" i="3"/>
  <c r="K18" i="3"/>
  <c r="M30" i="1"/>
  <c r="I30" i="1"/>
  <c r="L30" i="1"/>
  <c r="H30" i="1"/>
  <c r="M31" i="1"/>
  <c r="I31" i="1"/>
  <c r="L31" i="1"/>
  <c r="H31" i="1"/>
  <c r="M67" i="1"/>
  <c r="I67" i="1"/>
  <c r="K67" i="1"/>
  <c r="J67" i="1"/>
  <c r="N19" i="1"/>
  <c r="J19" i="1"/>
  <c r="M19" i="1"/>
  <c r="I19" i="1"/>
  <c r="J30" i="1"/>
  <c r="N49" i="1"/>
  <c r="J49" i="1"/>
  <c r="M49" i="1"/>
  <c r="I49" i="1"/>
  <c r="N54" i="1"/>
  <c r="J54" i="1"/>
  <c r="K54" i="1"/>
  <c r="I54" i="1"/>
  <c r="L78" i="1"/>
  <c r="H78" i="1"/>
  <c r="K78" i="1"/>
  <c r="J78" i="1"/>
  <c r="M6" i="2"/>
  <c r="I6" i="2"/>
  <c r="J6" i="2"/>
  <c r="N6" i="2"/>
  <c r="H6" i="2"/>
  <c r="H11" i="2"/>
  <c r="I9" i="1"/>
  <c r="K17" i="1"/>
  <c r="K18" i="1"/>
  <c r="K19" i="1"/>
  <c r="N29" i="1"/>
  <c r="N30" i="1"/>
  <c r="N31" i="1"/>
  <c r="N33" i="1"/>
  <c r="J33" i="1"/>
  <c r="M33" i="1"/>
  <c r="I33" i="1"/>
  <c r="N34" i="1"/>
  <c r="J34" i="1"/>
  <c r="M34" i="1"/>
  <c r="I34" i="1"/>
  <c r="N35" i="1"/>
  <c r="J35" i="1"/>
  <c r="M35" i="1"/>
  <c r="I35" i="1"/>
  <c r="K49" i="1"/>
  <c r="K50" i="1"/>
  <c r="K51" i="1"/>
  <c r="L54" i="1"/>
  <c r="M62" i="1"/>
  <c r="M65" i="1"/>
  <c r="I65" i="1"/>
  <c r="K65" i="1"/>
  <c r="J65" i="1"/>
  <c r="N67" i="1"/>
  <c r="N69" i="1"/>
  <c r="J69" i="1"/>
  <c r="I69" i="1"/>
  <c r="M69" i="1"/>
  <c r="H69" i="1"/>
  <c r="M78" i="1"/>
  <c r="L6" i="2"/>
  <c r="N9" i="2"/>
  <c r="J9" i="2"/>
  <c r="K9" i="2"/>
  <c r="I9" i="2"/>
  <c r="M11" i="2"/>
  <c r="L17" i="2"/>
  <c r="H17" i="2"/>
  <c r="J17" i="2"/>
  <c r="N17" i="2"/>
  <c r="I17" i="2"/>
  <c r="L22" i="2"/>
  <c r="L6" i="3"/>
  <c r="M13" i="3"/>
  <c r="I13" i="3"/>
  <c r="L13" i="3"/>
  <c r="H13" i="3"/>
  <c r="N13" i="3"/>
  <c r="K13" i="3"/>
  <c r="M15" i="3"/>
  <c r="I15" i="3"/>
  <c r="L15" i="3"/>
  <c r="H15" i="3"/>
  <c r="N15" i="3"/>
  <c r="K15" i="3"/>
  <c r="K10" i="1"/>
  <c r="K11" i="1"/>
  <c r="J21" i="1"/>
  <c r="N21" i="1"/>
  <c r="J22" i="1"/>
  <c r="N22" i="1"/>
  <c r="J23" i="1"/>
  <c r="N23" i="1"/>
  <c r="K25" i="1"/>
  <c r="K26" i="1"/>
  <c r="K27" i="1"/>
  <c r="J37" i="1"/>
  <c r="N37" i="1"/>
  <c r="J38" i="1"/>
  <c r="N38" i="1"/>
  <c r="J39" i="1"/>
  <c r="N39" i="1"/>
  <c r="K41" i="1"/>
  <c r="K42" i="1"/>
  <c r="K43" i="1"/>
  <c r="N53" i="1"/>
  <c r="J53" i="1"/>
  <c r="L53" i="1"/>
  <c r="N55" i="1"/>
  <c r="J55" i="1"/>
  <c r="L55" i="1"/>
  <c r="M66" i="1"/>
  <c r="I66" i="1"/>
  <c r="L66" i="1"/>
  <c r="L77" i="1"/>
  <c r="H77" i="1"/>
  <c r="M77" i="1"/>
  <c r="L79" i="1"/>
  <c r="H79" i="1"/>
  <c r="M79" i="1"/>
  <c r="N10" i="2"/>
  <c r="J10" i="2"/>
  <c r="L10" i="2"/>
  <c r="M21" i="2"/>
  <c r="I21" i="2"/>
  <c r="L21" i="2"/>
  <c r="M23" i="2"/>
  <c r="I23" i="2"/>
  <c r="L23" i="2"/>
  <c r="H10" i="1"/>
  <c r="H11" i="1"/>
  <c r="H25" i="1"/>
  <c r="H26" i="1"/>
  <c r="H27" i="1"/>
  <c r="H41" i="1"/>
  <c r="H42" i="1"/>
  <c r="H43" i="1"/>
  <c r="L61" i="1"/>
  <c r="H61" i="1"/>
  <c r="M61" i="1"/>
  <c r="L63" i="1"/>
  <c r="H63" i="1"/>
  <c r="M63" i="1"/>
  <c r="N70" i="1"/>
  <c r="J70" i="1"/>
  <c r="L70" i="1"/>
  <c r="M5" i="2"/>
  <c r="I5" i="2"/>
  <c r="L5" i="2"/>
  <c r="M7" i="2"/>
  <c r="I7" i="2"/>
  <c r="L7" i="2"/>
  <c r="L18" i="2"/>
  <c r="H18" i="2"/>
  <c r="M18" i="2"/>
  <c r="N5" i="3"/>
  <c r="J5" i="3"/>
  <c r="L5" i="3"/>
  <c r="N7" i="3"/>
  <c r="J7" i="3"/>
  <c r="L7" i="3"/>
  <c r="N17" i="3"/>
  <c r="J17" i="3"/>
  <c r="M17" i="3"/>
  <c r="I17" i="3"/>
  <c r="L17" i="3"/>
  <c r="H17" i="3"/>
  <c r="K19" i="3"/>
  <c r="H19" i="3"/>
  <c r="L19" i="3"/>
  <c r="I19" i="3"/>
  <c r="M19" i="3"/>
  <c r="J19" i="3"/>
</calcChain>
</file>

<file path=xl/sharedStrings.xml><?xml version="1.0" encoding="utf-8"?>
<sst xmlns="http://schemas.openxmlformats.org/spreadsheetml/2006/main" count="384" uniqueCount="303">
  <si>
    <t>ตารางโปรโมชันรถจักรยานยนต์ - กลุ่ม Auto</t>
  </si>
  <si>
    <t>รุ่นรถ</t>
  </si>
  <si>
    <t>รหัสรถ</t>
  </si>
  <si>
    <t>ราคาจัด</t>
  </si>
  <si>
    <t>ดอกเบี้ย
(ต่อเดือน)</t>
  </si>
  <si>
    <t>%ดาวน์</t>
  </si>
  <si>
    <t>ดาวน์</t>
  </si>
  <si>
    <t>ค่าจด/พรบ.</t>
  </si>
  <si>
    <t>รวมออกรถ</t>
  </si>
  <si>
    <t>ตารางผ่อน</t>
  </si>
  <si>
    <t>12</t>
  </si>
  <si>
    <t>18</t>
  </si>
  <si>
    <t>24</t>
  </si>
  <si>
    <t>30</t>
  </si>
  <si>
    <t>36</t>
  </si>
  <si>
    <t>48</t>
  </si>
  <si>
    <t>ฟาซซิโอ้ SMK</t>
  </si>
  <si>
    <t>BKF700</t>
  </si>
  <si>
    <t>ฟาซซิโอ้ Lite</t>
  </si>
  <si>
    <t>BKFB00</t>
  </si>
  <si>
    <t>BKFD00</t>
  </si>
  <si>
    <t>ฟาซซิโอ้ Edi+SMK</t>
  </si>
  <si>
    <t>BKFE00</t>
  </si>
  <si>
    <t>ฟาซซิโอ้ Lite Ver</t>
  </si>
  <si>
    <t>BKFF00</t>
  </si>
  <si>
    <t>แกรนด์ฟีลาโน่</t>
  </si>
  <si>
    <t>BJK600</t>
  </si>
  <si>
    <t>BJKA00</t>
  </si>
  <si>
    <t>แกรนด์ฟีลาโน่2026 2026</t>
  </si>
  <si>
    <t>BJKC00</t>
  </si>
  <si>
    <t>แกรนด์ฟีลาโน่ 2026</t>
  </si>
  <si>
    <t>BJKD00</t>
  </si>
  <si>
    <t>แกรนด์ฟีลาโน่  Edi+SMK</t>
  </si>
  <si>
    <t>BJKE00</t>
  </si>
  <si>
    <t>เอ็นแม็ก 2025</t>
  </si>
  <si>
    <t>BTF100</t>
  </si>
  <si>
    <t>เอ็นแม็ก เท็กแม็ก 2026</t>
  </si>
  <si>
    <t>BTM200</t>
  </si>
  <si>
    <t>เอ็นแม็ก  2026</t>
  </si>
  <si>
    <t>BTF200</t>
  </si>
  <si>
    <t>เอ็นแม็ก 2026 25TH</t>
  </si>
  <si>
    <t>BTF300</t>
  </si>
  <si>
    <t>เอ็กซ์แม็กซ์  STD 2026</t>
  </si>
  <si>
    <t>DR9200</t>
  </si>
  <si>
    <t>เอ็กซ์แม็กซ์  TECH Max 2026</t>
  </si>
  <si>
    <t>BKAW00</t>
  </si>
  <si>
    <t>Aerox 155   2026</t>
  </si>
  <si>
    <t>BWR100</t>
  </si>
  <si>
    <t>Aerox 155  SP 2026</t>
  </si>
  <si>
    <t>D13100</t>
  </si>
  <si>
    <t>ฟาซซิโอ้UBS/ครอปไฟเลี้ยวหน้า-หลั</t>
  </si>
  <si>
    <t>หมายเหตุ: ช่องสีเขียวอ่อนคือช่องที่สามารถแก้ไขตัวเลขได้ (ราคาจัด, ดอกเบี้ย, เงินดาวน์สำหรับโปร 0%, และค่าจดทะเบียน) ตัวเลขค่างวดจะคำนวณอัตโนมัติ</t>
  </si>
  <si>
    <t>ตารางโปรโมชันรถจักรยานยนต์ - กลุ่ม Moped</t>
  </si>
  <si>
    <t>ฟินน์/ล้อแม็ก/UBS/2024</t>
  </si>
  <si>
    <t>DT0400</t>
  </si>
  <si>
    <t>ฟินน์ 2026  SMART KEY</t>
  </si>
  <si>
    <t>DA6100</t>
  </si>
  <si>
    <t>ฟินน์ 2026 STD</t>
  </si>
  <si>
    <t>DA6200</t>
  </si>
  <si>
    <t>ฟินน์ 2026 ซี่ลวด</t>
  </si>
  <si>
    <t>DA6300</t>
  </si>
  <si>
    <t>เอ็กซ์ไซเตอร์</t>
  </si>
  <si>
    <t>BWK300</t>
  </si>
  <si>
    <t>ตารางโปรโมชันรถจักรยานยนต์ - กลุ่ม Sport</t>
  </si>
  <si>
    <t xml:space="preserve">WR155R </t>
  </si>
  <si>
    <t xml:space="preserve">B3MA00 </t>
  </si>
  <si>
    <t>PG-1/2026/ ABS</t>
  </si>
  <si>
    <t>D18100</t>
  </si>
  <si>
    <t>PG-1Special Edition</t>
  </si>
  <si>
    <t>D18300</t>
  </si>
  <si>
    <t>R15สตาร์ทมือ/ดิสก์เบรก/ล้อแม็ก</t>
  </si>
  <si>
    <t>BNCC00</t>
  </si>
  <si>
    <t>ตารางโปรโมชันรถจักรยานยนต์ฮอนด้า (รถใหม่)</t>
  </si>
  <si>
    <t>รหัสรถ/สี</t>
  </si>
  <si>
    <t>เงินดาวน์</t>
  </si>
  <si>
    <t>12 งวด</t>
  </si>
  <si>
    <t>24 งวด</t>
  </si>
  <si>
    <t>36 งวด</t>
  </si>
  <si>
    <t>48 งวด</t>
  </si>
  <si>
    <t>Wave 125 กุญแจธรรมดา /2026  1 คัน ดำ</t>
  </si>
  <si>
    <t>AFS125CSBT TH</t>
  </si>
  <si>
    <t>Wave 110 แม็ก-มือ(  2 คัน แดง/   เทา-นต)</t>
  </si>
  <si>
    <t>AFS110MCBT TH</t>
  </si>
  <si>
    <t xml:space="preserve">GIORNO+ CBS  2 คัน ขาว-ดำ    เทา-น้ำตาล </t>
  </si>
  <si>
    <t>ACF125CBT</t>
  </si>
  <si>
    <t>Wave 110 แม็ก-มือ Limited (  1 คัน ขาว)</t>
  </si>
  <si>
    <t>AFS110MCBT 3TH</t>
  </si>
  <si>
    <t>หมายเหตุ: ช่องสีเขียวอ่อนสามารถแก้ไขได้ (ราคาจัด, ดอกเบี้ย, เงินดาวน์, ค่าจด/พรบ.) ค่างวดจะคำนวณอัตโนมัติ</t>
  </si>
  <si>
    <t>ตารางโปรโมชันรถจักรยานยนต์ฮอนด้า (รถมือสอง)</t>
  </si>
  <si>
    <t>เลขเครื่อง</t>
  </si>
  <si>
    <t>ป้ายทะเบียน</t>
  </si>
  <si>
    <t>42 งวด</t>
  </si>
  <si>
    <t>E3K9E-401810</t>
  </si>
  <si>
    <t>1กญ-4017</t>
  </si>
  <si>
    <t>รับ:2569-06-11
จด:2559-11-18</t>
  </si>
  <si>
    <t>JA162E-0599746</t>
  </si>
  <si>
    <t>1กณ-1350</t>
  </si>
  <si>
    <t>รับ:2569-06-18
จด:2561-02-28</t>
  </si>
  <si>
    <t>JA21E-0006946</t>
  </si>
  <si>
    <t>1กฉ 9039</t>
  </si>
  <si>
    <t>รับ:2569-04-23
จด:2561-10-26</t>
  </si>
  <si>
    <t>JA14E-4135020</t>
  </si>
  <si>
    <t>1กย-8540</t>
  </si>
  <si>
    <t>รับ:2569-06-04
จด:2563-02-28</t>
  </si>
  <si>
    <t>JA14E-0272912</t>
  </si>
  <si>
    <t>1กผ-3851จท</t>
  </si>
  <si>
    <t>รับ:2567-12-18
จด:2565-08-16</t>
  </si>
  <si>
    <t>JA14E-0376061</t>
  </si>
  <si>
    <t>1กษ-8107</t>
  </si>
  <si>
    <t>รับ:2568-09-29
จด:2565-12-11</t>
  </si>
  <si>
    <t>JA14E-0455883</t>
  </si>
  <si>
    <t>1กอ-2156</t>
  </si>
  <si>
    <t>รับ:2569-06-04
จด:2566-03-31</t>
  </si>
  <si>
    <t>JA14E-0470673</t>
  </si>
  <si>
    <t>1กพ 9060</t>
  </si>
  <si>
    <t>รับ:2569-04-23
จด:2566-05-09</t>
  </si>
  <si>
    <t>JA14E-0740766</t>
  </si>
  <si>
    <t>1กน-6482</t>
  </si>
  <si>
    <t>รับ:2568-08-23
จด:2566-09-28</t>
  </si>
  <si>
    <t>JA14E-0749488</t>
  </si>
  <si>
    <t>2กจ-6592</t>
  </si>
  <si>
    <t>รับ:2568-08-14
จด:2566-12-19</t>
  </si>
  <si>
    <t>JA14E-0731064</t>
  </si>
  <si>
    <t>7ขท 499</t>
  </si>
  <si>
    <t>รับ:2568-07-16
จด:2567-01-31</t>
  </si>
  <si>
    <t>JA14E-0840933</t>
  </si>
  <si>
    <t>7ขธ 3090</t>
  </si>
  <si>
    <t>รับ:2569-01-26
จด:2567-02-09</t>
  </si>
  <si>
    <t>JA14E-0856163</t>
  </si>
  <si>
    <t>7ขธ-9285</t>
  </si>
  <si>
    <t>รับ:2568-08-14
จด:2567-02-14</t>
  </si>
  <si>
    <t>JA14E-0914795</t>
  </si>
  <si>
    <t>2กล 1596</t>
  </si>
  <si>
    <t>รับ:2568-07-16
จด:2567-05-15</t>
  </si>
  <si>
    <t>JA14E-0986403</t>
  </si>
  <si>
    <t>1กส 307</t>
  </si>
  <si>
    <t>รับ:2569-01-26
จด:2567-06-17</t>
  </si>
  <si>
    <t>JA14E-3683870</t>
  </si>
  <si>
    <t>1กฬ 3563</t>
  </si>
  <si>
    <t>รับ:2569-01-26
จด:2567-11-11</t>
  </si>
  <si>
    <t>JA14E-3752676</t>
  </si>
  <si>
    <t>8ขส-2357</t>
  </si>
  <si>
    <t>รับ:2568-12-16
จด:2568-01-09</t>
  </si>
  <si>
    <t>G3K9E-0004478</t>
  </si>
  <si>
    <t>1กท-484</t>
  </si>
  <si>
    <t>รับ:2569-08-20
จด:2566-01-31</t>
  </si>
  <si>
    <t>JA74E-1290661</t>
  </si>
  <si>
    <t>2กฉ 5677</t>
  </si>
  <si>
    <t>รับ:2569-08-21
จด:2568-11-19</t>
  </si>
  <si>
    <t>JA74E-1084946</t>
  </si>
  <si>
    <t>5กฆ 8746</t>
  </si>
  <si>
    <t>รับ:2569-08-21
จด:2568-06-24</t>
  </si>
  <si>
    <t>JA74E-1273619</t>
  </si>
  <si>
    <t>2กณ 4339</t>
  </si>
  <si>
    <t>รับ:2569-08-21
จด:2569-02-23</t>
  </si>
  <si>
    <t>JA74E-1292768</t>
  </si>
  <si>
    <t>2กษ 5248</t>
  </si>
  <si>
    <t>รับ:2569-08-21
จด:2568-11-06</t>
  </si>
  <si>
    <t>JA74E-1202691</t>
  </si>
  <si>
    <t>1กศ 9460</t>
  </si>
  <si>
    <t>รับ:2569-08-21
จด:2568-07-16</t>
  </si>
  <si>
    <t>JK04E-1479073</t>
  </si>
  <si>
    <t>1ฆม 2960</t>
  </si>
  <si>
    <t>รับ:2569-08-21
จด:2569-03-10</t>
  </si>
  <si>
    <t>JC93E-2594651</t>
  </si>
  <si>
    <t>2กอ 1692</t>
  </si>
  <si>
    <t>รับ:2569-08-21
จด:2568-04-21</t>
  </si>
  <si>
    <t>หมายเหตุ: ช่องสีเขียวอ่อนสามารถแก้ไขได้</t>
  </si>
  <si>
    <t>ตารางอัตราค่าบริการ และ ราคาทะเบียน หน้าร้าน / ต้นทุน สิงหาคม 2569</t>
  </si>
  <si>
    <t xml:space="preserve">3. อัตราเบี้ยประกันภัยรถหาย + อุบัติเหตุส่วนบุคคล (วิริยะประกันภัย - รถใหม่ป้ายแดง) สดอย่างเดี่ยวเท่านั้น </t>
  </si>
  <si>
    <t>ศูนย์บริการงานทะเบียนรถยนต์และรถจักรยานยนต์ (เอกสารอ้างอิงราคา)</t>
  </si>
  <si>
    <t>1. ทะเบียนขาดเกิน 3 ปี (ทะเบียนถูกยกเลิก)</t>
  </si>
  <si>
    <t>2. ย้ายตจว. / ย้ายป้ายเป็น ลพบุรี</t>
  </si>
  <si>
    <t>ทุนประกันภัย</t>
  </si>
  <si>
    <t>ระยะเวลาคุ้มครอง</t>
  </si>
  <si>
    <t>เบี้ยสุทธิ</t>
  </si>
  <si>
    <t>อากร</t>
  </si>
  <si>
    <t>ภาษี (7%)</t>
  </si>
  <si>
    <t>เบี้ยประกันรวม (ขาย)</t>
  </si>
  <si>
    <t xml:space="preserve">เก็บเงิน </t>
  </si>
  <si>
    <t>รหัสสินค้า</t>
  </si>
  <si>
    <t>รายการ</t>
  </si>
  <si>
    <t>ทุน</t>
  </si>
  <si>
    <t>ราคาขาย</t>
  </si>
  <si>
    <t>ไม่เกิน 75,000 บาท</t>
  </si>
  <si>
    <t>1 ปี</t>
  </si>
  <si>
    <t>4321</t>
  </si>
  <si>
    <t>จดใหม่</t>
  </si>
  <si>
    <t>ย้ายปลายทาง(เดิม 430เพิ่มตรอณ8-69(100)</t>
  </si>
  <si>
    <t>ต่ออายุปีที่ 2</t>
  </si>
  <si>
    <t>4339</t>
  </si>
  <si>
    <t>คืนภาษี 3 ปี</t>
  </si>
  <si>
    <t>ย้ายเข้า</t>
  </si>
  <si>
    <t>2 ปีควบ</t>
  </si>
  <si>
    <t>4351</t>
  </si>
  <si>
    <t>ค่าปรับคืนป้าย ขาดเกิน 3 ปี</t>
  </si>
  <si>
    <t>*ไม่มีป้ายเหล็กคืนขนส่ง</t>
  </si>
  <si>
    <t>ต่ออายุปีที่ 3</t>
  </si>
  <si>
    <t>4369</t>
  </si>
  <si>
    <t>ค่า พรบ. 360/460 ตาม ซีซี</t>
  </si>
  <si>
    <t>รดย้ายมีใบกำกับโอนล่าช้าเกิน 15 วัน เพิ่ม 200</t>
  </si>
  <si>
    <t>3 ปีควบ</t>
  </si>
  <si>
    <t>4381</t>
  </si>
  <si>
    <t>ค่าตรวจสภาพ</t>
  </si>
  <si>
    <t>75,001 - 100,000 บาท</t>
  </si>
  <si>
    <t>4322</t>
  </si>
  <si>
    <t>*ในกรณีโอน เพิ่ม 1,000</t>
  </si>
  <si>
    <t>4340</t>
  </si>
  <si>
    <t>รวม</t>
  </si>
  <si>
    <t>4352</t>
  </si>
  <si>
    <t>3. หมวดงานโอน / แจ้งเปลี่ยน / เอกสาร</t>
  </si>
  <si>
    <t>4. หมวดค่า พรบ. และ ประกันภัย</t>
  </si>
  <si>
    <t>4370</t>
  </si>
  <si>
    <t>4382</t>
  </si>
  <si>
    <t>ค่าโอน (76-125 ซีซี)</t>
  </si>
  <si>
    <t>ค่า พรบ. (76-125 ซีซี)</t>
  </si>
  <si>
    <t>100,001 - 150,000 บาท</t>
  </si>
  <si>
    <t>4323</t>
  </si>
  <si>
    <t>ค่าโอน (126-150 ซีซี)</t>
  </si>
  <si>
    <t>ค่า พรบ. (126-150 ซีซี)</t>
  </si>
  <si>
    <t>4341</t>
  </si>
  <si>
    <t>ค่าโอน เกิน 151-9999 CC</t>
  </si>
  <si>
    <t>ค่า พรบ. 1.30D เกิน 151-9999 CC</t>
  </si>
  <si>
    <t>4353</t>
  </si>
  <si>
    <t>กรณีไม่นำรถมา เพิ่ม รุ่นละ 100 บาท</t>
  </si>
  <si>
    <t>ค่าประกันรถหายชั้น 1 / ยามาฮ่าปีผ่อน X-MAX</t>
  </si>
  <si>
    <t>4371</t>
  </si>
  <si>
    <t>ต่อภาษี 1 ปี</t>
  </si>
  <si>
    <r>
      <t xml:space="preserve">8-69รถใหม่ ค่าประกันรถหายชั้น 1 </t>
    </r>
    <r>
      <rPr>
        <b/>
        <sz val="16"/>
        <color rgb="FFFF0000"/>
        <rFont val="TH Sarabun New"/>
        <family val="2"/>
      </rPr>
      <t>สด</t>
    </r>
    <r>
      <rPr>
        <sz val="16"/>
        <color rgb="FFFF0000"/>
        <rFont val="TH Sarabun New"/>
        <family val="2"/>
      </rPr>
      <t xml:space="preserve"> 1 ปี</t>
    </r>
  </si>
  <si>
    <t>4383</t>
  </si>
  <si>
    <t>ต่อรถไถ</t>
  </si>
  <si>
    <r>
      <t xml:space="preserve">8-69รถใหม่ ค่าประกันรถหายชั้น 1 </t>
    </r>
    <r>
      <rPr>
        <b/>
        <sz val="16"/>
        <color rgb="FFFF0000"/>
        <rFont val="TH Sarabun New"/>
        <family val="2"/>
      </rPr>
      <t>สด</t>
    </r>
    <r>
      <rPr>
        <sz val="16"/>
        <color rgb="FFFF0000"/>
        <rFont val="TH Sarabun New"/>
        <family val="2"/>
      </rPr>
      <t xml:space="preserve"> 2 ปี</t>
    </r>
  </si>
  <si>
    <t>150,001 - 250,000 บาท</t>
  </si>
  <si>
    <t>4324</t>
  </si>
  <si>
    <t>ยกเลิกการจดทะเบียน แจ้งจอดตลอดไป (*ไม่รวมภาษีขาด)</t>
  </si>
  <si>
    <t>รถใหม่ ค่าประกันรถหายชั้น 1 / ฮอนด้า1 ปีผ่อน</t>
  </si>
  <si>
    <t>4342</t>
  </si>
  <si>
    <t>ค่าแจ้ง เปลี่ยนสีรถ/ตรวจสภาพ</t>
  </si>
  <si>
    <t>รถใหม่ ค่าประกันรถหายชั้น 1 / ฮอนด้า 2 ปีผ่อน</t>
  </si>
  <si>
    <t>4354</t>
  </si>
  <si>
    <t>ค่าแจ้ง เปลี่ยนสีรถ/+พร้อมโอน ตรวจสภาพ</t>
  </si>
  <si>
    <t>รถใหม่ ค่าประกันรถหายชั้น 1 / ยามาฮ่า 1 ปีผ่อน</t>
  </si>
  <si>
    <t>4372</t>
  </si>
  <si>
    <t>แก้ไขรายการ ชื่อ นามสกุล ที่อยู่</t>
  </si>
  <si>
    <t>รถใหม่ ค่าประกันรถหายชั้น 1 / ยามาฮ่า 2 ปีผ่อน</t>
  </si>
  <si>
    <t>4384</t>
  </si>
  <si>
    <t>ป้ายแสดงการเสียภาษีประจำปี สูญหาย ชำรุด</t>
  </si>
  <si>
    <t>ค่าประกันรถหายชั้น 1 / มือ 2 1 ปีผ่อน</t>
  </si>
  <si>
    <t>วิริยะประกันภัย : ข้อเสนอและเงื่อนไขความคุ้มครอง ประกันภัยโจรกรรมรถจักรยานยนต์และอุบัติเหตุ</t>
  </si>
  <si>
    <t>แผ่นป้าย (เหล็ก) ทะเบียน สูญหาย ชำรุด</t>
  </si>
  <si>
    <t>ค่าประกันรถหายชั้น 1 / มือ 2 2 ปีผ่อน</t>
  </si>
  <si>
    <t>แผนมาตรฐานเงินสดและเช่าซื้อ (รถใหม่ป้ายแดง) - รหัสเอกสาร MC.QT 0083/2567</t>
  </si>
  <si>
    <t>สมุดคู่มือการจดทะเบียน สูญหาย ชำรุด</t>
  </si>
  <si>
    <t>ต่ออายุ ประกัน 1 ปี</t>
  </si>
  <si>
    <t>หมวดที่ 1 : ตารางสรุปเงื่อนไขความคุ้มครอง (Coverage Benefits)</t>
  </si>
  <si>
    <t>รายการคู่มือการจดทะเบียน (เต็ม)</t>
  </si>
  <si>
    <t>ค่าประกันรถหายชั้น 1ยามาฮ่า มือ2-1ปีผ่อน X-MAX</t>
  </si>
  <si>
    <t>ความคุ้มครองหลัก / รายละเอียด</t>
  </si>
  <si>
    <t>ผลประโยชน์ 1 ปี</t>
  </si>
  <si>
    <t>ผลประโยชน์ 2 ปีควบ</t>
  </si>
  <si>
    <t xml:space="preserve">จองเลข ณ 8/2569  ตัวอย่าง ( 1กก-2 )   1 ตัว </t>
  </si>
  <si>
    <t>ค่าประกันรถหายชั้น 1ยามาฮ่ามือ2-2ปีผ่อน X-MAX</t>
  </si>
  <si>
    <t>ความคุ้มครองหลัก</t>
  </si>
  <si>
    <t xml:space="preserve"> ตัวอย่าง ( 1กก-23)   2 ตัว </t>
  </si>
  <si>
    <t>▪ คุ้มครองรถจักรยานยนต์สูญหายทั้งคันจากการถูกโจรกรรม (ลักทรัพย์ ชิงทรัพย์ ปล้นทรัพย์)</t>
  </si>
  <si>
    <t>จ่ายตามทุนประกันภัย</t>
  </si>
  <si>
    <t xml:space="preserve"> ตัวอย่าง ( 1กก-232 )  3 ตัว </t>
  </si>
  <si>
    <t xml:space="preserve"> ตัวอย่าง ( 1กก-2323)   4 ตัว </t>
  </si>
  <si>
    <t>▪ คุ้มครองรถจักรยานยนต์เสียหายโดยสิ้นเชิงจากอุบัติเหตุ
  - บริษัทจะชดใช้สินไหมทดแทนเมื่อประเมินความเสียหายโดยสิ้นเชิงดังนี้:
    • รถจักรยานยนต์เสียหายเกินกว่า 60% ของทุนประกันภัยปีที่ 1
    • รถจักรยานยนต์เสียหายเกินกว่า 80% ของทุนประกันภัยปีที่ 2 และปีที่ 3</t>
  </si>
  <si>
    <t>ตรอ ขนส่ง (เพิ่มเติม งานลพบุรี)</t>
  </si>
  <si>
    <t>ค่าจดทะเบียนรถใหม่/วัชระ 750 คัน (ณ 5-66)</t>
  </si>
  <si>
    <t>รถใหม่ ตัดเฉลิมชัย/จดเอง</t>
  </si>
  <si>
    <t>ความคุ้มครองเพิ่มเติม</t>
  </si>
  <si>
    <t>▪ คุ้มครองกรณีผู้เอาประกันภัย / ผู้เช่าซื้อเสียชีวิต หรือทุพพลภาพถาวรจากอุบัติเหตุทุกกรณี</t>
  </si>
  <si>
    <t>ตารางคำนวณค่างวดรถมอเตอร์ไซค์ (Flat Rate Calculator)</t>
  </si>
  <si>
    <t>สูตรคำนวณดอกเบี้ยคงที่ (Flat Rate) มาตรฐานไฟแนนซ์รถจักรยานยนต์ พร้อมตารางสำเร็จรูป</t>
  </si>
  <si>
    <t xml:space="preserve"> เครื่องคำนวณค่างวดเดี่ยว (Interactive Single Calculator)</t>
  </si>
  <si>
    <t xml:space="preserve"> สูตรการคำนวณ Flat Rate (ดอกเบี้ยคงที่)</t>
  </si>
  <si>
    <t>ชื่อรุ่นรถ / Model:</t>
  </si>
  <si>
    <t>HONDA GIORNO+ (CBS)</t>
  </si>
  <si>
    <t>1. ยอดจัด = (ราคารถ + ค่าดำเนินการ) - เงินดาวน์</t>
  </si>
  <si>
    <t>ราคาสดตัวรถ (Cash Price):</t>
  </si>
  <si>
    <t>2. ดอกเบี้ยรวม = ยอดจัด × ดอกเบี้ยต่อเดือน × จำนวนงวด</t>
  </si>
  <si>
    <t>บวกค่า พรบ./ทะเบียน/ประกันรถหาย (รวมในยอดจัด):</t>
  </si>
  <si>
    <t xml:space="preserve">   (หากเป็นดอกเบี้ยต่อปี: ยอดจัด × ดอกเบี้ยต่อปี × (งวด ÷ 12))</t>
  </si>
  <si>
    <t>รวมราคารถสุทธิ (Net Price):</t>
  </si>
  <si>
    <t>3. ยอดรวมทั้งสิ้น = ยอดจัด + ดอกเบี้ยรวม</t>
  </si>
  <si>
    <t>เงินดาวน์ (Down Payment):</t>
  </si>
  <si>
    <t>4. ค่างวดต่อเดือน = ยอดรวมทั้งสิ้น ÷ จำนวนงวด</t>
  </si>
  <si>
    <t>ยอดจัดไฟแนนซ์ (Financing Amount):</t>
  </si>
  <si>
    <t>--------------------------------------------------------</t>
  </si>
  <si>
    <t>อัตราดอกเบี้ยต่อเดือน (Flat Rate / Month %):</t>
  </si>
  <si>
    <t>หมายเหตุวงการไฟแนนซ์มอเตอร์ไซค์:</t>
  </si>
  <si>
    <t>ระยะเวลาผ่อน (จำนวนงวด / Months):</t>
  </si>
  <si>
    <t>• ดอกเบี้ยมอเตอร์ไซค์ขนาดเล็ก (&lt;200cc) นิยมคิดเป็น % ต่อเดือน</t>
  </si>
  <si>
    <t>รวมดอกเบี้ยทั้งหมด (Total Interest):</t>
  </si>
  <si>
    <t>• ดอกเบี้ย Big Bike (&gt;200cc เช่น XMAX) นิยมคิดเป็น % ต่อปี</t>
  </si>
  <si>
    <t>ยอดหนี้รวมทั้งหมด (Total Debt):</t>
  </si>
  <si>
    <t>• โปร 'ฟรีดาวน์ / 0%' มักนำค่าประกัน/ทะเบียนไปรวมในยอดจัด</t>
  </si>
  <si>
    <t>ค่างวดต่อเดือน (Monthly Payment):</t>
  </si>
  <si>
    <t>• สามารถปรับตัวเลขในช่องสีเหลืองอ่อนเพื่อคำนวณได้ทันที</t>
  </si>
  <si>
    <t xml:space="preserve"> ค่า  พรบ./ทะเบียน/ประกันรถหาย </t>
  </si>
  <si>
    <t xml:space="preserve">ออกรถได้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</si>
</sst>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5" x14ac:knownFonts="1">
    <font>
      <sz val="11"/>
      <color theme="1"/>
      <name val="Tahoma"/>
      <family val="2"/>
      <scheme val="minor"/>
    </font>
    <font>
      <b/>
      <sz val="16"/>
      <color rgb="FFFFFFFF"/>
      <name val="Tahoma"/>
      <family val="2"/>
    </font>
    <font>
      <b/>
      <sz val="11"/>
      <name val="Tahoma"/>
      <family val="2"/>
    </font>
    <font>
      <b/>
      <sz val="11"/>
      <color rgb="FFFF0000"/>
      <name val="Tahoma"/>
      <family val="2"/>
    </font>
    <font>
      <i/>
      <sz val="11"/>
      <color rgb="FF0070C0"/>
      <name val="Tahoma"/>
      <family val="2"/>
    </font>
    <font>
      <b/>
      <sz val="16"/>
      <color rgb="FFFF0000"/>
      <name val="Tahoma"/>
      <family val="2"/>
    </font>
    <font>
      <sz val="11"/>
      <color rgb="FFFF0000"/>
      <name val="Tahoma"/>
      <family val="2"/>
      <scheme val="minor"/>
    </font>
    <font>
      <b/>
      <sz val="16"/>
      <color rgb="FF1B365D"/>
      <name val="TH Sarabun New"/>
      <family val="2"/>
    </font>
    <font>
      <sz val="16"/>
      <color theme="1"/>
      <name val="Tahoma"/>
      <family val="2"/>
      <scheme val="minor"/>
    </font>
    <font>
      <b/>
      <sz val="14"/>
      <color rgb="FFFF0000"/>
      <name val="TH Sarabun New"/>
      <family val="2"/>
    </font>
    <font>
      <b/>
      <sz val="16"/>
      <color rgb="FF333333"/>
      <name val="TH Sarabun New"/>
      <family val="2"/>
    </font>
    <font>
      <b/>
      <sz val="16"/>
      <color theme="1"/>
      <name val="TH Sarabun New"/>
      <family val="2"/>
    </font>
    <font>
      <b/>
      <sz val="12"/>
      <color rgb="FFFF0000"/>
      <name val="TH Sarabun New"/>
      <family val="2"/>
    </font>
    <font>
      <b/>
      <sz val="16"/>
      <color theme="1"/>
      <name val="TH Sarabun New"/>
      <family val="2"/>
      <charset val="222"/>
    </font>
    <font>
      <sz val="16"/>
      <color theme="1"/>
      <name val="TH Sarabun New"/>
      <family val="2"/>
    </font>
    <font>
      <sz val="16"/>
      <name val="TH Sarabun New"/>
      <family val="2"/>
    </font>
    <font>
      <b/>
      <sz val="16"/>
      <name val="TH Sarabun New"/>
      <family val="2"/>
      <charset val="222"/>
    </font>
    <font>
      <sz val="16"/>
      <color rgb="FFFF0000"/>
      <name val="TH Sarabun New"/>
      <family val="2"/>
    </font>
    <font>
      <b/>
      <sz val="16"/>
      <color rgb="FFFF0000"/>
      <name val="TH Sarabun New"/>
      <family val="2"/>
      <charset val="222"/>
    </font>
    <font>
      <b/>
      <sz val="16"/>
      <color rgb="FF1B365D"/>
      <name val="TH Sarabun New"/>
      <family val="2"/>
      <charset val="222"/>
    </font>
    <font>
      <sz val="16"/>
      <color rgb="FF002060"/>
      <name val="TH Sarabun New"/>
      <family val="2"/>
    </font>
    <font>
      <b/>
      <sz val="16"/>
      <color rgb="FF002060"/>
      <name val="TH Sarabun New"/>
      <family val="2"/>
      <charset val="222"/>
    </font>
    <font>
      <i/>
      <sz val="16"/>
      <color rgb="FFD32F2F"/>
      <name val="TH Sarabun New"/>
      <family val="2"/>
    </font>
    <font>
      <b/>
      <sz val="16"/>
      <color rgb="FFFF0000"/>
      <name val="TH Sarabun New"/>
      <family val="2"/>
    </font>
    <font>
      <sz val="12"/>
      <name val="TH Sarabun New"/>
      <family val="2"/>
    </font>
    <font>
      <sz val="14"/>
      <name val="TH Sarabun New"/>
      <family val="2"/>
    </font>
    <font>
      <b/>
      <sz val="13"/>
      <color theme="1"/>
      <name val="TH Sarabun New"/>
      <family val="2"/>
    </font>
    <font>
      <sz val="14"/>
      <color rgb="FFFF0000"/>
      <name val="TH Sarabun New"/>
      <family val="2"/>
    </font>
    <font>
      <b/>
      <sz val="14"/>
      <color theme="1"/>
      <name val="TH Sarabun New"/>
      <family val="2"/>
    </font>
    <font>
      <sz val="14"/>
      <color theme="1"/>
      <name val="Tahoma"/>
      <family val="2"/>
      <scheme val="minor"/>
    </font>
    <font>
      <sz val="14"/>
      <color theme="1"/>
      <name val="TH Sarabun New"/>
      <family val="2"/>
    </font>
    <font>
      <sz val="18"/>
      <color theme="1"/>
      <name val="TH Sarabun New"/>
      <family val="2"/>
    </font>
    <font>
      <sz val="16"/>
      <color rgb="FFFF0000"/>
      <name val="Tahoma"/>
      <family val="2"/>
      <scheme val="minor"/>
    </font>
    <font>
      <b/>
      <sz val="16"/>
      <color rgb="FFFF0000"/>
      <name val="Tahoma"/>
      <family val="2"/>
      <charset val="222"/>
      <scheme val="minor"/>
    </font>
    <font>
      <sz val="16"/>
      <color rgb="FFFF0000"/>
      <name val="Tahoma"/>
      <family val="2"/>
      <charset val="222"/>
      <scheme val="minor"/>
    </font>
    <font>
      <b/>
      <sz val="16"/>
      <color theme="1"/>
      <name val="Tahoma"/>
      <family val="2"/>
      <charset val="222"/>
      <scheme val="minor"/>
    </font>
    <font>
      <sz val="11"/>
      <color theme="1"/>
      <name val="Tahoma"/>
      <family val="2"/>
      <scheme val="minor"/>
    </font>
    <font>
      <sz val="14"/>
      <color theme="1"/>
      <name val="Prompt"/>
    </font>
    <font>
      <b/>
      <sz val="14"/>
      <color rgb="FFFFFFFF"/>
      <name val="Prompt"/>
    </font>
    <font>
      <i/>
      <sz val="14"/>
      <color rgb="FF595959"/>
      <name val="Prompt"/>
    </font>
    <font>
      <b/>
      <sz val="14"/>
      <color rgb="FF1F4E79"/>
      <name val="Prompt"/>
    </font>
    <font>
      <sz val="14"/>
      <name val="Prompt"/>
    </font>
    <font>
      <sz val="14"/>
      <color rgb="FF595959"/>
      <name val="Prompt"/>
    </font>
    <font>
      <b/>
      <sz val="14"/>
      <name val="Prompt"/>
    </font>
    <font>
      <b/>
      <sz val="14"/>
      <color rgb="FFC00000"/>
      <name val="Prompt"/>
    </font>
  </fonts>
  <fills count="17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FC000"/>
        <bgColor rgb="FFFFC000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9FAFC"/>
        <bgColor rgb="FFF9FAFC"/>
      </patternFill>
    </fill>
    <fill>
      <patternFill patternType="solid">
        <fgColor theme="4" tint="0.79998168889431442"/>
        <bgColor rgb="FFF9FAFC"/>
      </patternFill>
    </fill>
    <fill>
      <patternFill patternType="solid">
        <fgColor rgb="FFE8EEF5"/>
        <bgColor rgb="FFE8EEF5"/>
      </patternFill>
    </fill>
    <fill>
      <patternFill patternType="solid">
        <fgColor rgb="FFFFF3E0"/>
        <bgColor rgb="FFFFF3E0"/>
      </patternFill>
    </fill>
    <fill>
      <patternFill patternType="solid">
        <fgColor rgb="FFD9E1F2"/>
        <bgColor rgb="FFD9E1F2"/>
      </patternFill>
    </fill>
    <fill>
      <patternFill patternType="solid">
        <fgColor rgb="FF2F5597"/>
        <bgColor rgb="FF2F5597"/>
      </patternFill>
    </fill>
    <fill>
      <patternFill patternType="solid">
        <fgColor rgb="FFF9FAFB"/>
        <bgColor rgb="FFF9FAFB"/>
      </patternFill>
    </fill>
    <fill>
      <patternFill patternType="solid">
        <fgColor rgb="FFFFFFF0"/>
        <bgColor rgb="FFFFFFF0"/>
      </patternFill>
    </fill>
  </fills>
  <borders count="6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rgb="FF1B365D"/>
      </bottom>
      <diagonal/>
    </border>
    <border>
      <left/>
      <right/>
      <top/>
      <bottom style="medium">
        <color rgb="FF1B365D"/>
      </bottom>
      <diagonal/>
    </border>
    <border>
      <left style="medium">
        <color indexed="64"/>
      </left>
      <right style="thin">
        <color rgb="FFD9D9D9"/>
      </right>
      <top style="medium">
        <color rgb="FF1B365D"/>
      </top>
      <bottom style="medium">
        <color rgb="FF1B365D"/>
      </bottom>
      <diagonal/>
    </border>
    <border>
      <left style="thin">
        <color rgb="FFD9D9D9"/>
      </left>
      <right style="thin">
        <color rgb="FFD9D9D9"/>
      </right>
      <top style="medium">
        <color rgb="FF1B365D"/>
      </top>
      <bottom style="medium">
        <color rgb="FF1B365D"/>
      </bottom>
      <diagonal/>
    </border>
    <border>
      <left style="medium">
        <color indexed="64"/>
      </left>
      <right style="thin">
        <color rgb="FFD9D9D9"/>
      </right>
      <top style="medium">
        <color rgb="FF1B365D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 style="medium">
        <color rgb="FF1B365D"/>
      </top>
      <bottom style="thin">
        <color indexed="64"/>
      </bottom>
      <diagonal/>
    </border>
    <border>
      <left style="thin">
        <color rgb="FFD9D9D9"/>
      </left>
      <right/>
      <top style="medium">
        <color rgb="FF1B365D"/>
      </top>
      <bottom style="thin">
        <color indexed="64"/>
      </bottom>
      <diagonal/>
    </border>
    <border>
      <left style="thin">
        <color rgb="FFD9D9D9"/>
      </left>
      <right style="medium">
        <color indexed="64"/>
      </right>
      <top style="medium">
        <color rgb="FF1B365D"/>
      </top>
      <bottom style="thin">
        <color indexed="64"/>
      </bottom>
      <diagonal/>
    </border>
    <border>
      <left style="medium">
        <color indexed="64"/>
      </left>
      <right style="thin">
        <color rgb="FFD9D9D9"/>
      </right>
      <top style="thin">
        <color indexed="64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indexed="64"/>
      </top>
      <bottom style="thin">
        <color rgb="FFD9D9D9"/>
      </bottom>
      <diagonal/>
    </border>
    <border>
      <left style="thin">
        <color rgb="FFD9D9D9"/>
      </left>
      <right/>
      <top style="thin">
        <color indexed="64"/>
      </top>
      <bottom style="thin">
        <color rgb="FFD9D9D9"/>
      </bottom>
      <diagonal/>
    </border>
    <border>
      <left style="thin">
        <color rgb="FFD9D9D9"/>
      </left>
      <right style="medium">
        <color indexed="64"/>
      </right>
      <top style="thin">
        <color indexed="64"/>
      </top>
      <bottom style="thin">
        <color rgb="FFD9D9D9"/>
      </bottom>
      <diagonal/>
    </border>
    <border>
      <left style="medium">
        <color indexed="64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medium">
        <color indexed="64"/>
      </right>
      <top style="thin">
        <color rgb="FFD9D9D9"/>
      </top>
      <bottom style="thin">
        <color rgb="FFD9D9D9"/>
      </bottom>
      <diagonal/>
    </border>
    <border>
      <left style="medium">
        <color indexed="64"/>
      </left>
      <right style="thin">
        <color rgb="FFD9D9D9"/>
      </right>
      <top style="thin">
        <color rgb="FFD9D9D9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indexed="64"/>
      </bottom>
      <diagonal/>
    </border>
    <border>
      <left style="thin">
        <color rgb="FFD9D9D9"/>
      </left>
      <right/>
      <top style="thin">
        <color rgb="FFD9D9D9"/>
      </top>
      <bottom style="thin">
        <color indexed="64"/>
      </bottom>
      <diagonal/>
    </border>
    <border>
      <left style="thin">
        <color rgb="FFD9D9D9"/>
      </left>
      <right style="medium">
        <color indexed="64"/>
      </right>
      <top style="thin">
        <color rgb="FFD9D9D9"/>
      </top>
      <bottom style="thin">
        <color indexed="64"/>
      </bottom>
      <diagonal/>
    </border>
    <border>
      <left style="medium">
        <color indexed="64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/>
      <bottom style="thin">
        <color rgb="FFD9D9D9"/>
      </bottom>
      <diagonal/>
    </border>
    <border>
      <left style="thin">
        <color rgb="FFD9D9D9"/>
      </left>
      <right style="medium">
        <color indexed="64"/>
      </right>
      <top/>
      <bottom style="thin">
        <color rgb="FFD9D9D9"/>
      </bottom>
      <diagonal/>
    </border>
    <border>
      <left style="medium">
        <color indexed="64"/>
      </left>
      <right style="thin">
        <color rgb="FFD9D9D9"/>
      </right>
      <top style="thin">
        <color rgb="FFD9D9D9"/>
      </top>
      <bottom style="double">
        <color rgb="FF1B365D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double">
        <color rgb="FF1B365D"/>
      </bottom>
      <diagonal/>
    </border>
    <border>
      <left style="medium">
        <color indexed="64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 style="thin">
        <color rgb="FFD9D9D9"/>
      </top>
      <bottom/>
      <diagonal/>
    </border>
    <border>
      <left style="thin">
        <color rgb="FFD9D9D9"/>
      </left>
      <right style="medium">
        <color indexed="64"/>
      </right>
      <top style="thin">
        <color rgb="FFD9D9D9"/>
      </top>
      <bottom/>
      <diagonal/>
    </border>
    <border>
      <left style="medium">
        <color indexed="64"/>
      </left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/>
      <top/>
      <bottom style="thin">
        <color rgb="FFD9D9D9"/>
      </bottom>
      <diagonal/>
    </border>
    <border>
      <left style="thin">
        <color indexed="64"/>
      </left>
      <right style="thin">
        <color rgb="FFD9D9D9"/>
      </right>
      <top style="thin">
        <color indexed="64"/>
      </top>
      <bottom style="thin">
        <color rgb="FFD9D9D9"/>
      </bottom>
      <diagonal/>
    </border>
    <border>
      <left style="thin">
        <color rgb="FFD9D9D9"/>
      </left>
      <right style="thin">
        <color indexed="64"/>
      </right>
      <top style="thin">
        <color indexed="64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 style="thin">
        <color indexed="64"/>
      </left>
      <right style="thin">
        <color rgb="FFD9D9D9"/>
      </right>
      <top style="thin">
        <color rgb="FFD9D9D9"/>
      </top>
      <bottom style="thin">
        <color indexed="64"/>
      </bottom>
      <diagonal/>
    </border>
    <border>
      <left style="thin">
        <color rgb="FFD9D9D9"/>
      </left>
      <right style="thin">
        <color indexed="64"/>
      </right>
      <top style="thin">
        <color rgb="FFD9D9D9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rgb="FFD9D9D9"/>
      </right>
      <top style="thin">
        <color indexed="64"/>
      </top>
      <bottom/>
      <diagonal/>
    </border>
    <border>
      <left style="medium">
        <color indexed="64"/>
      </left>
      <right style="thin">
        <color rgb="FFD9D9D9"/>
      </right>
      <top style="thin">
        <color rgb="FFD9D9D9"/>
      </top>
      <bottom style="medium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</borders>
  <cellStyleXfs count="2">
    <xf numFmtId="0" fontId="0" fillId="0" borderId="0"/>
    <xf numFmtId="0" fontId="36" fillId="0" borderId="0"/>
  </cellStyleXfs>
  <cellXfs count="248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3" fontId="0" fillId="4" borderId="1" xfId="0" applyNumberFormat="1" applyFill="1" applyBorder="1" applyAlignment="1">
      <alignment horizontal="center" vertical="center" wrapText="1"/>
    </xf>
    <xf numFmtId="10" fontId="0" fillId="4" borderId="1" xfId="0" applyNumberFormat="1" applyFill="1" applyBorder="1" applyAlignment="1">
      <alignment horizontal="center" vertical="center" wrapText="1"/>
    </xf>
    <xf numFmtId="9" fontId="0" fillId="5" borderId="1" xfId="0" applyNumberFormat="1" applyFill="1" applyBorder="1" applyAlignment="1">
      <alignment horizontal="center" vertical="center" wrapText="1"/>
    </xf>
    <xf numFmtId="3" fontId="0" fillId="5" borderId="1" xfId="0" applyNumberFormat="1" applyFill="1" applyBorder="1" applyAlignment="1">
      <alignment horizontal="center" vertical="center" wrapText="1"/>
    </xf>
    <xf numFmtId="3" fontId="3" fillId="5" borderId="1" xfId="0" applyNumberFormat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 wrapText="1"/>
    </xf>
    <xf numFmtId="0" fontId="0" fillId="0" borderId="0" xfId="0"/>
    <xf numFmtId="3" fontId="0" fillId="7" borderId="1" xfId="0" applyNumberForma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/>
    <xf numFmtId="0" fontId="8" fillId="0" borderId="6" xfId="0" applyFont="1" applyBorder="1"/>
    <xf numFmtId="0" fontId="8" fillId="0" borderId="8" xfId="0" applyFont="1" applyBorder="1"/>
    <xf numFmtId="0" fontId="8" fillId="0" borderId="12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 wrapText="1"/>
    </xf>
    <xf numFmtId="3" fontId="12" fillId="8" borderId="14" xfId="0" applyNumberFormat="1" applyFont="1" applyFill="1" applyBorder="1" applyAlignment="1">
      <alignment horizontal="center" vertical="center" wrapText="1"/>
    </xf>
    <xf numFmtId="3" fontId="12" fillId="8" borderId="15" xfId="0" applyNumberFormat="1" applyFont="1" applyFill="1" applyBorder="1" applyAlignment="1">
      <alignment horizontal="center" vertical="center" wrapText="1"/>
    </xf>
    <xf numFmtId="0" fontId="12" fillId="0" borderId="16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1" fillId="0" borderId="11" xfId="0" applyFont="1" applyBorder="1" applyAlignment="1">
      <alignment horizontal="right" vertical="center" wrapText="1"/>
    </xf>
    <xf numFmtId="0" fontId="11" fillId="0" borderId="12" xfId="0" applyFont="1" applyBorder="1" applyAlignment="1">
      <alignment horizontal="center" vertical="center" wrapText="1"/>
    </xf>
    <xf numFmtId="0" fontId="13" fillId="8" borderId="12" xfId="0" applyFont="1" applyFill="1" applyBorder="1" applyAlignment="1">
      <alignment horizontal="center" vertical="center" wrapText="1"/>
    </xf>
    <xf numFmtId="0" fontId="11" fillId="0" borderId="17" xfId="0" applyFont="1" applyBorder="1" applyAlignment="1">
      <alignment horizontal="right" vertical="center" wrapText="1"/>
    </xf>
    <xf numFmtId="0" fontId="11" fillId="0" borderId="18" xfId="0" applyFont="1" applyBorder="1" applyAlignment="1">
      <alignment horizontal="center" vertical="center" wrapText="1"/>
    </xf>
    <xf numFmtId="4" fontId="14" fillId="0" borderId="18" xfId="0" applyNumberFormat="1" applyFont="1" applyBorder="1" applyAlignment="1">
      <alignment horizontal="center" vertical="center"/>
    </xf>
    <xf numFmtId="4" fontId="14" fillId="0" borderId="18" xfId="0" applyNumberFormat="1" applyFont="1" applyBorder="1" applyAlignment="1">
      <alignment vertical="center"/>
    </xf>
    <xf numFmtId="3" fontId="11" fillId="8" borderId="18" xfId="0" applyNumberFormat="1" applyFont="1" applyFill="1" applyBorder="1" applyAlignment="1">
      <alignment horizontal="center" vertical="center"/>
    </xf>
    <xf numFmtId="3" fontId="11" fillId="8" borderId="19" xfId="0" applyNumberFormat="1" applyFont="1" applyFill="1" applyBorder="1" applyAlignment="1">
      <alignment horizontal="center" vertical="center"/>
    </xf>
    <xf numFmtId="0" fontId="14" fillId="0" borderId="20" xfId="0" applyFont="1" applyBorder="1" applyAlignment="1">
      <alignment horizontal="center" vertical="center" wrapText="1"/>
    </xf>
    <xf numFmtId="0" fontId="15" fillId="0" borderId="21" xfId="0" applyFont="1" applyBorder="1" applyAlignment="1">
      <alignment horizontal="right" vertical="center" wrapText="1"/>
    </xf>
    <xf numFmtId="3" fontId="15" fillId="0" borderId="22" xfId="0" applyNumberFormat="1" applyFont="1" applyBorder="1" applyAlignment="1">
      <alignment horizontal="center" vertical="center"/>
    </xf>
    <xf numFmtId="3" fontId="16" fillId="8" borderId="22" xfId="0" applyNumberFormat="1" applyFont="1" applyFill="1" applyBorder="1" applyAlignment="1">
      <alignment horizontal="center" vertical="center"/>
    </xf>
    <xf numFmtId="0" fontId="17" fillId="0" borderId="22" xfId="0" applyFont="1" applyBorder="1" applyAlignment="1">
      <alignment horizontal="right" vertical="center" wrapText="1"/>
    </xf>
    <xf numFmtId="3" fontId="17" fillId="0" borderId="22" xfId="0" applyNumberFormat="1" applyFont="1" applyBorder="1" applyAlignment="1">
      <alignment horizontal="center" vertical="center"/>
    </xf>
    <xf numFmtId="3" fontId="18" fillId="8" borderId="22" xfId="0" applyNumberFormat="1" applyFont="1" applyFill="1" applyBorder="1" applyAlignment="1">
      <alignment horizontal="center" vertical="center"/>
    </xf>
    <xf numFmtId="0" fontId="11" fillId="0" borderId="21" xfId="0" applyFont="1" applyBorder="1" applyAlignment="1">
      <alignment horizontal="right" vertical="center" wrapText="1"/>
    </xf>
    <xf numFmtId="0" fontId="11" fillId="0" borderId="22" xfId="0" applyFont="1" applyBorder="1" applyAlignment="1">
      <alignment horizontal="center" vertical="center" wrapText="1"/>
    </xf>
    <xf numFmtId="4" fontId="14" fillId="0" borderId="22" xfId="0" applyNumberFormat="1" applyFont="1" applyBorder="1" applyAlignment="1">
      <alignment horizontal="center" vertical="center"/>
    </xf>
    <xf numFmtId="4" fontId="14" fillId="0" borderId="22" xfId="0" applyNumberFormat="1" applyFont="1" applyBorder="1" applyAlignment="1">
      <alignment vertical="center"/>
    </xf>
    <xf numFmtId="3" fontId="11" fillId="8" borderId="22" xfId="0" applyNumberFormat="1" applyFont="1" applyFill="1" applyBorder="1" applyAlignment="1">
      <alignment horizontal="center" vertical="center"/>
    </xf>
    <xf numFmtId="3" fontId="11" fillId="8" borderId="23" xfId="0" applyNumberFormat="1" applyFont="1" applyFill="1" applyBorder="1" applyAlignment="1">
      <alignment horizontal="center" vertical="center"/>
    </xf>
    <xf numFmtId="0" fontId="14" fillId="0" borderId="24" xfId="0" applyFont="1" applyBorder="1" applyAlignment="1">
      <alignment horizontal="center" vertical="center" wrapText="1"/>
    </xf>
    <xf numFmtId="0" fontId="15" fillId="9" borderId="21" xfId="0" applyFont="1" applyFill="1" applyBorder="1" applyAlignment="1">
      <alignment horizontal="right" vertical="center" wrapText="1"/>
    </xf>
    <xf numFmtId="3" fontId="15" fillId="9" borderId="22" xfId="0" applyNumberFormat="1" applyFont="1" applyFill="1" applyBorder="1" applyAlignment="1">
      <alignment horizontal="center" vertical="center"/>
    </xf>
    <xf numFmtId="3" fontId="16" fillId="10" borderId="22" xfId="0" applyNumberFormat="1" applyFont="1" applyFill="1" applyBorder="1" applyAlignment="1">
      <alignment horizontal="center" vertical="center"/>
    </xf>
    <xf numFmtId="0" fontId="15" fillId="9" borderId="22" xfId="0" applyFont="1" applyFill="1" applyBorder="1" applyAlignment="1">
      <alignment horizontal="right" vertical="center" wrapText="1"/>
    </xf>
    <xf numFmtId="0" fontId="15" fillId="0" borderId="22" xfId="0" applyFont="1" applyBorder="1" applyAlignment="1">
      <alignment horizontal="right" vertical="center" wrapText="1"/>
    </xf>
    <xf numFmtId="0" fontId="11" fillId="0" borderId="25" xfId="0" applyFont="1" applyBorder="1" applyAlignment="1">
      <alignment horizontal="right" vertical="center" wrapText="1"/>
    </xf>
    <xf numFmtId="0" fontId="11" fillId="0" borderId="26" xfId="0" applyFont="1" applyBorder="1" applyAlignment="1">
      <alignment horizontal="center" vertical="center" wrapText="1"/>
    </xf>
    <xf numFmtId="4" fontId="14" fillId="0" borderId="26" xfId="0" applyNumberFormat="1" applyFont="1" applyBorder="1" applyAlignment="1">
      <alignment horizontal="center" vertical="center"/>
    </xf>
    <xf numFmtId="4" fontId="14" fillId="0" borderId="26" xfId="0" applyNumberFormat="1" applyFont="1" applyBorder="1" applyAlignment="1">
      <alignment vertical="center"/>
    </xf>
    <xf numFmtId="3" fontId="11" fillId="8" borderId="26" xfId="0" applyNumberFormat="1" applyFont="1" applyFill="1" applyBorder="1" applyAlignment="1">
      <alignment horizontal="center" vertical="center"/>
    </xf>
    <xf numFmtId="3" fontId="11" fillId="8" borderId="27" xfId="0" applyNumberFormat="1" applyFont="1" applyFill="1" applyBorder="1" applyAlignment="1">
      <alignment horizontal="center" vertical="center"/>
    </xf>
    <xf numFmtId="0" fontId="14" fillId="0" borderId="28" xfId="0" applyFont="1" applyBorder="1" applyAlignment="1">
      <alignment horizontal="center" vertical="center" wrapText="1"/>
    </xf>
    <xf numFmtId="0" fontId="11" fillId="9" borderId="29" xfId="0" applyFont="1" applyFill="1" applyBorder="1" applyAlignment="1">
      <alignment horizontal="right" vertical="center" wrapText="1"/>
    </xf>
    <xf numFmtId="0" fontId="11" fillId="9" borderId="30" xfId="0" applyFont="1" applyFill="1" applyBorder="1" applyAlignment="1">
      <alignment horizontal="center" vertical="center" wrapText="1"/>
    </xf>
    <xf numFmtId="4" fontId="14" fillId="9" borderId="30" xfId="0" applyNumberFormat="1" applyFont="1" applyFill="1" applyBorder="1" applyAlignment="1">
      <alignment horizontal="center" vertical="center"/>
    </xf>
    <xf numFmtId="4" fontId="14" fillId="9" borderId="30" xfId="0" applyNumberFormat="1" applyFont="1" applyFill="1" applyBorder="1" applyAlignment="1">
      <alignment vertical="center"/>
    </xf>
    <xf numFmtId="3" fontId="11" fillId="10" borderId="30" xfId="0" applyNumberFormat="1" applyFont="1" applyFill="1" applyBorder="1" applyAlignment="1">
      <alignment horizontal="center" vertical="center"/>
    </xf>
    <xf numFmtId="3" fontId="11" fillId="10" borderId="31" xfId="0" applyNumberFormat="1" applyFont="1" applyFill="1" applyBorder="1" applyAlignment="1">
      <alignment horizontal="center" vertical="center"/>
    </xf>
    <xf numFmtId="0" fontId="14" fillId="9" borderId="32" xfId="0" applyFont="1" applyFill="1" applyBorder="1" applyAlignment="1">
      <alignment horizontal="center" vertical="center" wrapText="1"/>
    </xf>
    <xf numFmtId="0" fontId="11" fillId="9" borderId="21" xfId="0" applyFont="1" applyFill="1" applyBorder="1" applyAlignment="1">
      <alignment horizontal="right" vertical="center" wrapText="1"/>
    </xf>
    <xf numFmtId="0" fontId="11" fillId="9" borderId="22" xfId="0" applyFont="1" applyFill="1" applyBorder="1" applyAlignment="1">
      <alignment horizontal="center" vertical="center" wrapText="1"/>
    </xf>
    <xf numFmtId="4" fontId="14" fillId="9" borderId="22" xfId="0" applyNumberFormat="1" applyFont="1" applyFill="1" applyBorder="1" applyAlignment="1">
      <alignment horizontal="center" vertical="center"/>
    </xf>
    <xf numFmtId="4" fontId="14" fillId="9" borderId="22" xfId="0" applyNumberFormat="1" applyFont="1" applyFill="1" applyBorder="1" applyAlignment="1">
      <alignment vertical="center"/>
    </xf>
    <xf numFmtId="3" fontId="11" fillId="10" borderId="22" xfId="0" applyNumberFormat="1" applyFont="1" applyFill="1" applyBorder="1" applyAlignment="1">
      <alignment horizontal="center" vertical="center"/>
    </xf>
    <xf numFmtId="3" fontId="11" fillId="10" borderId="23" xfId="0" applyNumberFormat="1" applyFont="1" applyFill="1" applyBorder="1" applyAlignment="1">
      <alignment horizontal="center" vertical="center"/>
    </xf>
    <xf numFmtId="0" fontId="14" fillId="9" borderId="24" xfId="0" applyFont="1" applyFill="1" applyBorder="1" applyAlignment="1">
      <alignment horizontal="center" vertical="center" wrapText="1"/>
    </xf>
    <xf numFmtId="0" fontId="7" fillId="11" borderId="33" xfId="0" applyFont="1" applyFill="1" applyBorder="1" applyAlignment="1">
      <alignment horizontal="right" vertical="center" wrapText="1"/>
    </xf>
    <xf numFmtId="3" fontId="7" fillId="11" borderId="34" xfId="0" applyNumberFormat="1" applyFont="1" applyFill="1" applyBorder="1" applyAlignment="1">
      <alignment horizontal="center" vertical="center"/>
    </xf>
    <xf numFmtId="3" fontId="19" fillId="11" borderId="34" xfId="0" applyNumberFormat="1" applyFont="1" applyFill="1" applyBorder="1" applyAlignment="1">
      <alignment horizontal="center" vertical="center"/>
    </xf>
    <xf numFmtId="0" fontId="7" fillId="11" borderId="34" xfId="0" applyFont="1" applyFill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/>
    </xf>
    <xf numFmtId="0" fontId="11" fillId="9" borderId="35" xfId="0" applyFont="1" applyFill="1" applyBorder="1" applyAlignment="1">
      <alignment horizontal="right" vertical="center" wrapText="1"/>
    </xf>
    <xf numFmtId="0" fontId="11" fillId="9" borderId="36" xfId="0" applyFont="1" applyFill="1" applyBorder="1" applyAlignment="1">
      <alignment horizontal="center" vertical="center" wrapText="1"/>
    </xf>
    <xf numFmtId="4" fontId="14" fillId="9" borderId="36" xfId="0" applyNumberFormat="1" applyFont="1" applyFill="1" applyBorder="1" applyAlignment="1">
      <alignment horizontal="center" vertical="center"/>
    </xf>
    <xf numFmtId="4" fontId="14" fillId="9" borderId="36" xfId="0" applyNumberFormat="1" applyFont="1" applyFill="1" applyBorder="1" applyAlignment="1">
      <alignment vertical="center"/>
    </xf>
    <xf numFmtId="3" fontId="11" fillId="10" borderId="36" xfId="0" applyNumberFormat="1" applyFont="1" applyFill="1" applyBorder="1" applyAlignment="1">
      <alignment horizontal="center" vertical="center"/>
    </xf>
    <xf numFmtId="3" fontId="11" fillId="10" borderId="37" xfId="0" applyNumberFormat="1" applyFont="1" applyFill="1" applyBorder="1" applyAlignment="1">
      <alignment horizontal="center" vertical="center"/>
    </xf>
    <xf numFmtId="0" fontId="14" fillId="9" borderId="38" xfId="0" applyFont="1" applyFill="1" applyBorder="1" applyAlignment="1">
      <alignment horizontal="center" vertical="center" wrapText="1"/>
    </xf>
    <xf numFmtId="0" fontId="20" fillId="0" borderId="22" xfId="0" applyFont="1" applyBorder="1" applyAlignment="1">
      <alignment horizontal="right" vertical="center" wrapText="1"/>
    </xf>
    <xf numFmtId="3" fontId="20" fillId="0" borderId="22" xfId="0" applyNumberFormat="1" applyFont="1" applyBorder="1" applyAlignment="1">
      <alignment horizontal="center" vertical="center"/>
    </xf>
    <xf numFmtId="3" fontId="21" fillId="8" borderId="22" xfId="0" applyNumberFormat="1" applyFont="1" applyFill="1" applyBorder="1" applyAlignment="1">
      <alignment horizontal="center" vertical="center"/>
    </xf>
    <xf numFmtId="0" fontId="20" fillId="9" borderId="22" xfId="0" applyFont="1" applyFill="1" applyBorder="1" applyAlignment="1">
      <alignment horizontal="right" vertical="center" wrapText="1"/>
    </xf>
    <xf numFmtId="3" fontId="20" fillId="9" borderId="22" xfId="0" applyNumberFormat="1" applyFont="1" applyFill="1" applyBorder="1" applyAlignment="1">
      <alignment horizontal="center" vertical="center"/>
    </xf>
    <xf numFmtId="3" fontId="21" fillId="10" borderId="22" xfId="0" applyNumberFormat="1" applyFont="1" applyFill="1" applyBorder="1" applyAlignment="1">
      <alignment horizontal="center" vertical="center"/>
    </xf>
    <xf numFmtId="0" fontId="22" fillId="12" borderId="42" xfId="0" applyFont="1" applyFill="1" applyBorder="1" applyAlignment="1">
      <alignment horizontal="center" vertical="center" wrapText="1"/>
    </xf>
    <xf numFmtId="0" fontId="15" fillId="9" borderId="36" xfId="0" applyFont="1" applyFill="1" applyBorder="1" applyAlignment="1">
      <alignment horizontal="right" vertical="center" wrapText="1"/>
    </xf>
    <xf numFmtId="3" fontId="15" fillId="9" borderId="36" xfId="0" applyNumberFormat="1" applyFont="1" applyFill="1" applyBorder="1" applyAlignment="1">
      <alignment horizontal="center" vertical="center"/>
    </xf>
    <xf numFmtId="3" fontId="16" fillId="10" borderId="36" xfId="0" applyNumberFormat="1" applyFont="1" applyFill="1" applyBorder="1" applyAlignment="1">
      <alignment horizontal="center" vertical="center"/>
    </xf>
    <xf numFmtId="3" fontId="16" fillId="8" borderId="23" xfId="0" applyNumberFormat="1" applyFont="1" applyFill="1" applyBorder="1" applyAlignment="1">
      <alignment horizontal="center" vertical="center"/>
    </xf>
    <xf numFmtId="3" fontId="15" fillId="0" borderId="43" xfId="0" applyNumberFormat="1" applyFont="1" applyBorder="1" applyAlignment="1">
      <alignment horizontal="center" vertical="center"/>
    </xf>
    <xf numFmtId="0" fontId="17" fillId="0" borderId="44" xfId="0" applyFont="1" applyBorder="1" applyAlignment="1">
      <alignment horizontal="right" vertical="center" wrapText="1"/>
    </xf>
    <xf numFmtId="3" fontId="17" fillId="0" borderId="18" xfId="0" applyNumberFormat="1" applyFont="1" applyBorder="1" applyAlignment="1">
      <alignment horizontal="center" vertical="center"/>
    </xf>
    <xf numFmtId="3" fontId="18" fillId="8" borderId="45" xfId="0" applyNumberFormat="1" applyFont="1" applyFill="1" applyBorder="1" applyAlignment="1">
      <alignment horizontal="center" vertical="center"/>
    </xf>
    <xf numFmtId="3" fontId="16" fillId="10" borderId="23" xfId="0" applyNumberFormat="1" applyFont="1" applyFill="1" applyBorder="1" applyAlignment="1">
      <alignment horizontal="center" vertical="center"/>
    </xf>
    <xf numFmtId="3" fontId="15" fillId="9" borderId="46" xfId="0" applyNumberFormat="1" applyFont="1" applyFill="1" applyBorder="1" applyAlignment="1">
      <alignment horizontal="center" vertical="center"/>
    </xf>
    <xf numFmtId="0" fontId="17" fillId="9" borderId="47" xfId="0" applyFont="1" applyFill="1" applyBorder="1" applyAlignment="1">
      <alignment horizontal="right" vertical="center" wrapText="1"/>
    </xf>
    <xf numFmtId="3" fontId="17" fillId="9" borderId="26" xfId="0" applyNumberFormat="1" applyFont="1" applyFill="1" applyBorder="1" applyAlignment="1">
      <alignment horizontal="center" vertical="center"/>
    </xf>
    <xf numFmtId="3" fontId="18" fillId="10" borderId="48" xfId="0" applyNumberFormat="1" applyFont="1" applyFill="1" applyBorder="1" applyAlignment="1">
      <alignment horizontal="center" vertical="center"/>
    </xf>
    <xf numFmtId="0" fontId="24" fillId="0" borderId="21" xfId="0" applyFont="1" applyBorder="1" applyAlignment="1">
      <alignment horizontal="right" vertical="center" wrapText="1"/>
    </xf>
    <xf numFmtId="3" fontId="15" fillId="0" borderId="30" xfId="0" applyNumberFormat="1" applyFont="1" applyBorder="1" applyAlignment="1">
      <alignment horizontal="center" vertical="center"/>
    </xf>
    <xf numFmtId="0" fontId="25" fillId="0" borderId="30" xfId="0" applyFont="1" applyBorder="1" applyAlignment="1">
      <alignment horizontal="right" vertical="center" wrapText="1"/>
    </xf>
    <xf numFmtId="3" fontId="16" fillId="8" borderId="30" xfId="0" applyNumberFormat="1" applyFont="1" applyFill="1" applyBorder="1" applyAlignment="1">
      <alignment horizontal="center" vertical="center"/>
    </xf>
    <xf numFmtId="0" fontId="25" fillId="9" borderId="21" xfId="0" applyFont="1" applyFill="1" applyBorder="1" applyAlignment="1">
      <alignment horizontal="right" vertical="center" wrapText="1"/>
    </xf>
    <xf numFmtId="0" fontId="25" fillId="9" borderId="22" xfId="0" applyFont="1" applyFill="1" applyBorder="1" applyAlignment="1">
      <alignment horizontal="right" vertical="center" wrapText="1"/>
    </xf>
    <xf numFmtId="0" fontId="25" fillId="0" borderId="21" xfId="0" applyFont="1" applyBorder="1" applyAlignment="1">
      <alignment horizontal="right" vertical="center" wrapText="1"/>
    </xf>
    <xf numFmtId="0" fontId="25" fillId="0" borderId="22" xfId="0" applyFont="1" applyBorder="1" applyAlignment="1">
      <alignment horizontal="right" vertical="center" wrapText="1"/>
    </xf>
    <xf numFmtId="0" fontId="8" fillId="0" borderId="0" xfId="0" applyFont="1"/>
    <xf numFmtId="0" fontId="11" fillId="0" borderId="4" xfId="0" applyFont="1" applyBorder="1" applyAlignment="1">
      <alignment vertical="center"/>
    </xf>
    <xf numFmtId="0" fontId="0" fillId="0" borderId="5" xfId="0" applyBorder="1"/>
    <xf numFmtId="0" fontId="0" fillId="0" borderId="6" xfId="0" applyBorder="1"/>
    <xf numFmtId="0" fontId="0" fillId="0" borderId="51" xfId="0" applyBorder="1"/>
    <xf numFmtId="3" fontId="15" fillId="0" borderId="36" xfId="0" applyNumberFormat="1" applyFont="1" applyBorder="1" applyAlignment="1">
      <alignment horizontal="center" vertical="center"/>
    </xf>
    <xf numFmtId="0" fontId="15" fillId="0" borderId="36" xfId="0" applyFont="1" applyBorder="1" applyAlignment="1">
      <alignment horizontal="right" vertical="center" wrapText="1"/>
    </xf>
    <xf numFmtId="3" fontId="16" fillId="8" borderId="36" xfId="0" applyNumberFormat="1" applyFont="1" applyFill="1" applyBorder="1" applyAlignment="1">
      <alignment horizontal="center" vertical="center"/>
    </xf>
    <xf numFmtId="0" fontId="0" fillId="0" borderId="8" xfId="0" applyBorder="1"/>
    <xf numFmtId="3" fontId="15" fillId="9" borderId="0" xfId="0" applyNumberFormat="1" applyFont="1" applyFill="1" applyAlignment="1">
      <alignment horizontal="center" vertical="center"/>
    </xf>
    <xf numFmtId="0" fontId="27" fillId="9" borderId="52" xfId="0" applyFont="1" applyFill="1" applyBorder="1" applyAlignment="1">
      <alignment horizontal="right" vertical="center"/>
    </xf>
    <xf numFmtId="3" fontId="17" fillId="9" borderId="18" xfId="0" applyNumberFormat="1" applyFont="1" applyFill="1" applyBorder="1" applyAlignment="1">
      <alignment horizontal="center" vertical="center"/>
    </xf>
    <xf numFmtId="3" fontId="18" fillId="10" borderId="45" xfId="0" applyNumberFormat="1" applyFont="1" applyFill="1" applyBorder="1" applyAlignment="1">
      <alignment horizontal="center" vertical="center"/>
    </xf>
    <xf numFmtId="0" fontId="28" fillId="0" borderId="50" xfId="0" applyFont="1" applyBorder="1" applyAlignment="1">
      <alignment horizontal="center" vertical="center"/>
    </xf>
    <xf numFmtId="0" fontId="28" fillId="0" borderId="50" xfId="0" applyFont="1" applyBorder="1" applyAlignment="1">
      <alignment horizontal="left" vertical="center"/>
    </xf>
    <xf numFmtId="0" fontId="29" fillId="0" borderId="51" xfId="0" applyFont="1" applyBorder="1"/>
    <xf numFmtId="0" fontId="17" fillId="0" borderId="21" xfId="0" applyFont="1" applyBorder="1" applyAlignment="1">
      <alignment horizontal="right" vertical="center" wrapText="1"/>
    </xf>
    <xf numFmtId="3" fontId="18" fillId="8" borderId="23" xfId="0" applyNumberFormat="1" applyFont="1" applyFill="1" applyBorder="1" applyAlignment="1">
      <alignment horizontal="center" vertical="center"/>
    </xf>
    <xf numFmtId="3" fontId="17" fillId="0" borderId="46" xfId="0" applyNumberFormat="1" applyFont="1" applyBorder="1" applyAlignment="1">
      <alignment horizontal="center" vertical="center"/>
    </xf>
    <xf numFmtId="0" fontId="27" fillId="9" borderId="47" xfId="0" applyFont="1" applyFill="1" applyBorder="1" applyAlignment="1">
      <alignment horizontal="right" vertical="center"/>
    </xf>
    <xf numFmtId="3" fontId="17" fillId="0" borderId="26" xfId="0" applyNumberFormat="1" applyFont="1" applyBorder="1" applyAlignment="1">
      <alignment horizontal="center" vertical="center"/>
    </xf>
    <xf numFmtId="3" fontId="18" fillId="8" borderId="48" xfId="0" applyNumberFormat="1" applyFont="1" applyFill="1" applyBorder="1" applyAlignment="1">
      <alignment horizontal="center" vertical="center"/>
    </xf>
    <xf numFmtId="3" fontId="17" fillId="0" borderId="30" xfId="0" applyNumberFormat="1" applyFont="1" applyBorder="1" applyAlignment="1">
      <alignment horizontal="center" vertical="center"/>
    </xf>
    <xf numFmtId="0" fontId="15" fillId="0" borderId="30" xfId="0" applyFont="1" applyBorder="1" applyAlignment="1">
      <alignment horizontal="center" vertical="center" wrapText="1"/>
    </xf>
    <xf numFmtId="0" fontId="30" fillId="0" borderId="0" xfId="0" applyFont="1" applyAlignment="1">
      <alignment horizontal="center" vertical="center"/>
    </xf>
    <xf numFmtId="0" fontId="30" fillId="0" borderId="0" xfId="0" applyFont="1" applyAlignment="1">
      <alignment horizontal="left" vertical="center"/>
    </xf>
    <xf numFmtId="0" fontId="15" fillId="0" borderId="22" xfId="0" applyFont="1" applyBorder="1" applyAlignment="1">
      <alignment horizontal="center" vertical="center" wrapText="1"/>
    </xf>
    <xf numFmtId="0" fontId="31" fillId="0" borderId="5" xfId="0" applyFont="1" applyBorder="1" applyAlignment="1">
      <alignment vertical="top" wrapText="1"/>
    </xf>
    <xf numFmtId="0" fontId="15" fillId="9" borderId="22" xfId="0" applyFont="1" applyFill="1" applyBorder="1" applyAlignment="1">
      <alignment horizontal="center" vertical="center" wrapText="1"/>
    </xf>
    <xf numFmtId="0" fontId="31" fillId="0" borderId="0" xfId="0" applyFont="1" applyAlignment="1">
      <alignment vertical="top" wrapText="1"/>
    </xf>
    <xf numFmtId="0" fontId="15" fillId="9" borderId="53" xfId="0" applyFont="1" applyFill="1" applyBorder="1" applyAlignment="1">
      <alignment horizontal="right" vertical="center" wrapText="1"/>
    </xf>
    <xf numFmtId="3" fontId="15" fillId="9" borderId="54" xfId="0" applyNumberFormat="1" applyFont="1" applyFill="1" applyBorder="1" applyAlignment="1">
      <alignment horizontal="center" vertical="center"/>
    </xf>
    <xf numFmtId="3" fontId="16" fillId="10" borderId="54" xfId="0" applyNumberFormat="1" applyFont="1" applyFill="1" applyBorder="1" applyAlignment="1">
      <alignment horizontal="center" vertical="center"/>
    </xf>
    <xf numFmtId="0" fontId="15" fillId="9" borderId="54" xfId="0" applyFont="1" applyFill="1" applyBorder="1" applyAlignment="1">
      <alignment horizontal="center" vertical="center" wrapText="1"/>
    </xf>
    <xf numFmtId="0" fontId="8" fillId="0" borderId="55" xfId="0" applyFont="1" applyBorder="1"/>
    <xf numFmtId="0" fontId="32" fillId="0" borderId="0" xfId="0" applyFont="1"/>
    <xf numFmtId="0" fontId="33" fillId="0" borderId="0" xfId="0" applyFont="1"/>
    <xf numFmtId="0" fontId="31" fillId="0" borderId="55" xfId="0" applyFont="1" applyBorder="1" applyAlignment="1">
      <alignment vertical="top" wrapText="1"/>
    </xf>
    <xf numFmtId="0" fontId="8" fillId="0" borderId="57" xfId="0" applyFont="1" applyBorder="1"/>
    <xf numFmtId="0" fontId="34" fillId="0" borderId="0" xfId="0" applyFont="1"/>
    <xf numFmtId="0" fontId="0" fillId="0" borderId="55" xfId="0" applyBorder="1"/>
    <xf numFmtId="0" fontId="0" fillId="0" borderId="57" xfId="0" applyBorder="1"/>
    <xf numFmtId="3" fontId="32" fillId="0" borderId="0" xfId="0" applyNumberFormat="1" applyFont="1"/>
    <xf numFmtId="3" fontId="34" fillId="0" borderId="0" xfId="0" applyNumberFormat="1" applyFont="1"/>
    <xf numFmtId="0" fontId="35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/>
    </xf>
    <xf numFmtId="3" fontId="0" fillId="0" borderId="0" xfId="0" applyNumberFormat="1"/>
    <xf numFmtId="3" fontId="0" fillId="4" borderId="1" xfId="0" applyNumberForma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0" fillId="5" borderId="1" xfId="0" applyFill="1" applyBorder="1" applyAlignment="1">
      <alignment horizontal="center" vertical="center" wrapText="1"/>
    </xf>
    <xf numFmtId="10" fontId="0" fillId="4" borderId="1" xfId="0" applyNumberForma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4" fillId="0" borderId="0" xfId="0" applyFont="1" applyAlignment="1">
      <alignment horizontal="left"/>
    </xf>
    <xf numFmtId="0" fontId="5" fillId="6" borderId="0" xfId="0" applyFont="1" applyFill="1" applyAlignment="1">
      <alignment horizontal="center" vertical="center" wrapText="1"/>
    </xf>
    <xf numFmtId="0" fontId="6" fillId="6" borderId="0" xfId="0" applyFont="1" applyFill="1"/>
    <xf numFmtId="0" fontId="0" fillId="0" borderId="1" xfId="0" applyBorder="1" applyAlignment="1">
      <alignment horizontal="center" vertical="center" wrapText="1"/>
    </xf>
    <xf numFmtId="0" fontId="4" fillId="0" borderId="0" xfId="0" applyFont="1"/>
    <xf numFmtId="0" fontId="31" fillId="0" borderId="4" xfId="0" applyFont="1" applyBorder="1" applyAlignment="1">
      <alignment horizontal="left" vertical="top" wrapText="1"/>
    </xf>
    <xf numFmtId="0" fontId="31" fillId="0" borderId="5" xfId="0" applyFont="1" applyBorder="1" applyAlignment="1">
      <alignment horizontal="left" vertical="top" wrapText="1"/>
    </xf>
    <xf numFmtId="0" fontId="31" fillId="0" borderId="7" xfId="0" applyFont="1" applyBorder="1" applyAlignment="1">
      <alignment horizontal="left" vertical="top" wrapText="1"/>
    </xf>
    <xf numFmtId="0" fontId="31" fillId="0" borderId="0" xfId="0" applyFont="1" applyAlignment="1">
      <alignment horizontal="left" vertical="top" wrapText="1"/>
    </xf>
    <xf numFmtId="0" fontId="31" fillId="0" borderId="56" xfId="0" applyFont="1" applyBorder="1" applyAlignment="1">
      <alignment horizontal="left" vertical="top" wrapText="1"/>
    </xf>
    <xf numFmtId="0" fontId="31" fillId="0" borderId="55" xfId="0" applyFont="1" applyBorder="1" applyAlignment="1">
      <alignment horizontal="left" vertical="top" wrapText="1"/>
    </xf>
    <xf numFmtId="0" fontId="28" fillId="0" borderId="7" xfId="0" applyFont="1" applyBorder="1" applyAlignment="1">
      <alignment horizontal="left" vertical="center"/>
    </xf>
    <xf numFmtId="0" fontId="29" fillId="0" borderId="0" xfId="0" applyFont="1"/>
    <xf numFmtId="0" fontId="30" fillId="0" borderId="0" xfId="0" applyFont="1" applyAlignment="1">
      <alignment horizontal="center" vertical="center" wrapText="1"/>
    </xf>
    <xf numFmtId="0" fontId="30" fillId="0" borderId="55" xfId="0" applyFont="1" applyBorder="1" applyAlignment="1">
      <alignment horizontal="center" vertical="center" wrapText="1"/>
    </xf>
    <xf numFmtId="0" fontId="22" fillId="12" borderId="39" xfId="0" applyFont="1" applyFill="1" applyBorder="1" applyAlignment="1">
      <alignment horizontal="center" vertical="center" wrapText="1"/>
    </xf>
    <xf numFmtId="0" fontId="22" fillId="12" borderId="40" xfId="0" applyFont="1" applyFill="1" applyBorder="1" applyAlignment="1">
      <alignment horizontal="center" vertical="center" wrapText="1"/>
    </xf>
    <xf numFmtId="0" fontId="22" fillId="12" borderId="41" xfId="0" applyFont="1" applyFill="1" applyBorder="1" applyAlignment="1">
      <alignment horizontal="center" vertical="center" wrapText="1"/>
    </xf>
    <xf numFmtId="0" fontId="26" fillId="0" borderId="49" xfId="0" applyFont="1" applyBorder="1" applyAlignment="1">
      <alignment horizontal="center" vertical="center" wrapText="1"/>
    </xf>
    <xf numFmtId="0" fontId="0" fillId="0" borderId="50" xfId="0" applyBorder="1"/>
    <xf numFmtId="0" fontId="26" fillId="0" borderId="7" xfId="0" applyFont="1" applyBorder="1" applyAlignment="1">
      <alignment horizontal="center" vertical="center" wrapText="1"/>
    </xf>
    <xf numFmtId="0" fontId="28" fillId="0" borderId="49" xfId="0" applyFont="1" applyBorder="1" applyAlignment="1">
      <alignment horizontal="center" vertical="center"/>
    </xf>
    <xf numFmtId="0" fontId="29" fillId="0" borderId="50" xfId="0" applyFont="1" applyBorder="1"/>
    <xf numFmtId="0" fontId="11" fillId="0" borderId="7" xfId="0" applyFont="1" applyBorder="1" applyAlignment="1">
      <alignment horizontal="left" vertical="center"/>
    </xf>
    <xf numFmtId="0" fontId="8" fillId="0" borderId="0" xfId="0" applyFont="1"/>
    <xf numFmtId="0" fontId="14" fillId="0" borderId="7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11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/>
    </xf>
    <xf numFmtId="0" fontId="37" fillId="0" borderId="0" xfId="1" applyFont="1" applyAlignment="1">
      <alignment horizontal="center" vertical="center"/>
    </xf>
    <xf numFmtId="0" fontId="38" fillId="2" borderId="0" xfId="1" applyFont="1" applyFill="1" applyAlignment="1">
      <alignment horizontal="center" vertical="center"/>
    </xf>
    <xf numFmtId="0" fontId="39" fillId="0" borderId="0" xfId="1" applyFont="1" applyAlignment="1">
      <alignment horizontal="center" vertical="center"/>
    </xf>
    <xf numFmtId="0" fontId="41" fillId="0" borderId="58" xfId="1" applyFont="1" applyBorder="1" applyAlignment="1">
      <alignment horizontal="center" vertical="center"/>
    </xf>
    <xf numFmtId="0" fontId="41" fillId="16" borderId="58" xfId="1" applyFont="1" applyFill="1" applyBorder="1" applyAlignment="1">
      <alignment horizontal="center" vertical="center"/>
    </xf>
    <xf numFmtId="0" fontId="43" fillId="0" borderId="58" xfId="1" applyFont="1" applyBorder="1" applyAlignment="1">
      <alignment horizontal="center" vertical="center"/>
    </xf>
    <xf numFmtId="0" fontId="44" fillId="5" borderId="58" xfId="1" applyFont="1" applyFill="1" applyBorder="1" applyAlignment="1">
      <alignment horizontal="center" vertical="center"/>
    </xf>
    <xf numFmtId="0" fontId="44" fillId="5" borderId="0" xfId="1" applyFont="1" applyFill="1" applyAlignment="1">
      <alignment horizontal="center" vertical="center"/>
    </xf>
    <xf numFmtId="3" fontId="44" fillId="5" borderId="0" xfId="1" applyNumberFormat="1" applyFont="1" applyFill="1" applyAlignment="1">
      <alignment horizontal="center" vertical="center"/>
    </xf>
    <xf numFmtId="0" fontId="42" fillId="15" borderId="0" xfId="1" applyFont="1" applyFill="1" applyAlignment="1">
      <alignment horizontal="center" vertical="center"/>
    </xf>
    <xf numFmtId="0" fontId="37" fillId="15" borderId="0" xfId="1" applyFont="1" applyFill="1" applyAlignment="1">
      <alignment horizontal="center" vertical="center"/>
    </xf>
    <xf numFmtId="0" fontId="41" fillId="0" borderId="59" xfId="1" applyFont="1" applyBorder="1" applyAlignment="1">
      <alignment horizontal="center" vertical="center"/>
    </xf>
    <xf numFmtId="0" fontId="41" fillId="0" borderId="60" xfId="1" applyFont="1" applyBorder="1" applyAlignment="1">
      <alignment horizontal="center" vertical="center"/>
    </xf>
    <xf numFmtId="0" fontId="41" fillId="0" borderId="61" xfId="1" applyFont="1" applyBorder="1" applyAlignment="1">
      <alignment horizontal="center" vertical="center"/>
    </xf>
    <xf numFmtId="0" fontId="40" fillId="13" borderId="62" xfId="1" applyFont="1" applyFill="1" applyBorder="1" applyAlignment="1">
      <alignment horizontal="center" vertical="center"/>
    </xf>
    <xf numFmtId="3" fontId="43" fillId="0" borderId="59" xfId="1" applyNumberFormat="1" applyFont="1" applyBorder="1" applyAlignment="1">
      <alignment horizontal="center" vertical="center"/>
    </xf>
    <xf numFmtId="3" fontId="43" fillId="0" borderId="60" xfId="1" applyNumberFormat="1" applyFont="1" applyBorder="1" applyAlignment="1">
      <alignment horizontal="center" vertical="center"/>
    </xf>
    <xf numFmtId="3" fontId="43" fillId="0" borderId="61" xfId="1" applyNumberFormat="1" applyFont="1" applyBorder="1" applyAlignment="1">
      <alignment horizontal="center" vertical="center"/>
    </xf>
    <xf numFmtId="3" fontId="41" fillId="16" borderId="59" xfId="1" applyNumberFormat="1" applyFont="1" applyFill="1" applyBorder="1" applyAlignment="1">
      <alignment horizontal="center" vertical="center"/>
    </xf>
    <xf numFmtId="3" fontId="41" fillId="16" borderId="60" xfId="1" applyNumberFormat="1" applyFont="1" applyFill="1" applyBorder="1" applyAlignment="1">
      <alignment horizontal="center" vertical="center"/>
    </xf>
    <xf numFmtId="3" fontId="41" fillId="16" borderId="61" xfId="1" applyNumberFormat="1" applyFont="1" applyFill="1" applyBorder="1" applyAlignment="1">
      <alignment horizontal="center" vertical="center"/>
    </xf>
    <xf numFmtId="10" fontId="41" fillId="16" borderId="59" xfId="1" applyNumberFormat="1" applyFont="1" applyFill="1" applyBorder="1" applyAlignment="1">
      <alignment horizontal="center" vertical="center"/>
    </xf>
    <xf numFmtId="10" fontId="41" fillId="16" borderId="60" xfId="1" applyNumberFormat="1" applyFont="1" applyFill="1" applyBorder="1" applyAlignment="1">
      <alignment horizontal="center" vertical="center"/>
    </xf>
    <xf numFmtId="10" fontId="41" fillId="16" borderId="61" xfId="1" applyNumberFormat="1" applyFont="1" applyFill="1" applyBorder="1" applyAlignment="1">
      <alignment horizontal="center" vertical="center"/>
    </xf>
    <xf numFmtId="3" fontId="41" fillId="0" borderId="59" xfId="1" applyNumberFormat="1" applyFont="1" applyBorder="1" applyAlignment="1">
      <alignment horizontal="center" vertical="center"/>
    </xf>
    <xf numFmtId="3" fontId="41" fillId="0" borderId="60" xfId="1" applyNumberFormat="1" applyFont="1" applyBorder="1" applyAlignment="1">
      <alignment horizontal="center" vertical="center"/>
    </xf>
    <xf numFmtId="3" fontId="41" fillId="0" borderId="61" xfId="1" applyNumberFormat="1" applyFont="1" applyBorder="1" applyAlignment="1">
      <alignment horizontal="center" vertical="center"/>
    </xf>
    <xf numFmtId="1" fontId="41" fillId="16" borderId="59" xfId="1" applyNumberFormat="1" applyFont="1" applyFill="1" applyBorder="1" applyAlignment="1">
      <alignment horizontal="center" vertical="center"/>
    </xf>
    <xf numFmtId="1" fontId="41" fillId="16" borderId="60" xfId="1" applyNumberFormat="1" applyFont="1" applyFill="1" applyBorder="1" applyAlignment="1">
      <alignment horizontal="center" vertical="center"/>
    </xf>
    <xf numFmtId="1" fontId="41" fillId="16" borderId="61" xfId="1" applyNumberFormat="1" applyFont="1" applyFill="1" applyBorder="1" applyAlignment="1">
      <alignment horizontal="center" vertical="center"/>
    </xf>
    <xf numFmtId="3" fontId="44" fillId="5" borderId="59" xfId="1" applyNumberFormat="1" applyFont="1" applyFill="1" applyBorder="1" applyAlignment="1">
      <alignment horizontal="center" vertical="center"/>
    </xf>
    <xf numFmtId="3" fontId="44" fillId="5" borderId="60" xfId="1" applyNumberFormat="1" applyFont="1" applyFill="1" applyBorder="1" applyAlignment="1">
      <alignment horizontal="center" vertical="center"/>
    </xf>
    <xf numFmtId="3" fontId="44" fillId="5" borderId="61" xfId="1" applyNumberFormat="1" applyFont="1" applyFill="1" applyBorder="1" applyAlignment="1">
      <alignment horizontal="center" vertical="center"/>
    </xf>
    <xf numFmtId="0" fontId="42" fillId="15" borderId="59" xfId="1" applyFont="1" applyFill="1" applyBorder="1" applyAlignment="1">
      <alignment vertical="center"/>
    </xf>
    <xf numFmtId="0" fontId="42" fillId="15" borderId="60" xfId="1" applyFont="1" applyFill="1" applyBorder="1" applyAlignment="1">
      <alignment vertical="center"/>
    </xf>
    <xf numFmtId="0" fontId="42" fillId="15" borderId="61" xfId="1" applyFont="1" applyFill="1" applyBorder="1" applyAlignment="1">
      <alignment vertical="center"/>
    </xf>
    <xf numFmtId="0" fontId="40" fillId="15" borderId="59" xfId="1" applyFont="1" applyFill="1" applyBorder="1" applyAlignment="1">
      <alignment vertical="center"/>
    </xf>
    <xf numFmtId="0" fontId="40" fillId="15" borderId="60" xfId="1" applyFont="1" applyFill="1" applyBorder="1" applyAlignment="1">
      <alignment vertical="center"/>
    </xf>
    <xf numFmtId="0" fontId="40" fillId="15" borderId="61" xfId="1" applyFont="1" applyFill="1" applyBorder="1" applyAlignment="1">
      <alignment vertical="center"/>
    </xf>
    <xf numFmtId="0" fontId="38" fillId="14" borderId="62" xfId="1" applyFont="1" applyFill="1" applyBorder="1" applyAlignment="1">
      <alignment vertical="center"/>
    </xf>
  </cellXfs>
  <cellStyles count="2">
    <cellStyle name="ปกติ" xfId="0" builtinId="0"/>
    <cellStyle name="ปกติ 2" xfId="1" xr:uid="{BECCCB72-A01A-4167-BEEA-18D50F3C8001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36020-3AFF-45BD-8DF9-930DE0E04540}">
  <dimension ref="B1:L22"/>
  <sheetViews>
    <sheetView tabSelected="1" topLeftCell="A5" workbookViewId="0">
      <selection activeCell="B10" sqref="B10"/>
    </sheetView>
  </sheetViews>
  <sheetFormatPr defaultRowHeight="14.25" x14ac:dyDescent="0.2"/>
  <cols>
    <col min="2" max="2" width="55.5" style="12" bestFit="1" customWidth="1"/>
    <col min="3" max="12" width="9" style="12"/>
  </cols>
  <sheetData>
    <row r="1" spans="2:12" s="208" customFormat="1" ht="24" x14ac:dyDescent="0.2"/>
    <row r="2" spans="2:12" s="208" customFormat="1" ht="24" x14ac:dyDescent="0.2">
      <c r="B2" s="209" t="s">
        <v>274</v>
      </c>
      <c r="C2" s="209"/>
      <c r="D2" s="209"/>
      <c r="E2" s="209"/>
      <c r="F2" s="209"/>
      <c r="G2" s="209"/>
      <c r="H2" s="209"/>
      <c r="I2" s="209"/>
      <c r="J2" s="209"/>
      <c r="K2" s="209"/>
      <c r="L2" s="209"/>
    </row>
    <row r="3" spans="2:12" s="208" customFormat="1" ht="24" x14ac:dyDescent="0.2">
      <c r="B3" s="210" t="s">
        <v>275</v>
      </c>
      <c r="C3" s="210"/>
      <c r="D3" s="210"/>
      <c r="E3" s="210"/>
      <c r="F3" s="210"/>
      <c r="G3" s="210"/>
      <c r="H3" s="210"/>
      <c r="I3" s="210"/>
      <c r="J3" s="210"/>
      <c r="K3" s="210"/>
      <c r="L3" s="210"/>
    </row>
    <row r="4" spans="2:12" s="208" customFormat="1" ht="24" x14ac:dyDescent="0.2"/>
    <row r="5" spans="2:12" s="208" customFormat="1" ht="24" x14ac:dyDescent="0.2">
      <c r="B5" s="222" t="s">
        <v>276</v>
      </c>
      <c r="C5" s="222"/>
      <c r="D5" s="222"/>
      <c r="E5" s="222"/>
      <c r="G5" s="247" t="s">
        <v>277</v>
      </c>
      <c r="H5" s="247"/>
      <c r="I5" s="247"/>
      <c r="J5" s="247"/>
    </row>
    <row r="6" spans="2:12" s="208" customFormat="1" ht="24" x14ac:dyDescent="0.2">
      <c r="B6" s="211" t="s">
        <v>278</v>
      </c>
      <c r="C6" s="219" t="s">
        <v>279</v>
      </c>
      <c r="D6" s="220"/>
      <c r="E6" s="221"/>
      <c r="G6" s="244" t="s">
        <v>280</v>
      </c>
      <c r="H6" s="245"/>
      <c r="I6" s="245"/>
      <c r="J6" s="246"/>
    </row>
    <row r="7" spans="2:12" s="208" customFormat="1" ht="24" x14ac:dyDescent="0.2">
      <c r="B7" s="212" t="s">
        <v>281</v>
      </c>
      <c r="C7" s="226">
        <v>85500</v>
      </c>
      <c r="D7" s="227"/>
      <c r="E7" s="228"/>
      <c r="G7" s="244" t="s">
        <v>282</v>
      </c>
      <c r="H7" s="245"/>
      <c r="I7" s="245"/>
      <c r="J7" s="246"/>
    </row>
    <row r="8" spans="2:12" s="208" customFormat="1" ht="24" x14ac:dyDescent="0.2">
      <c r="B8" s="212" t="s">
        <v>283</v>
      </c>
      <c r="C8" s="226">
        <v>0</v>
      </c>
      <c r="D8" s="227"/>
      <c r="E8" s="228"/>
      <c r="G8" s="241" t="s">
        <v>284</v>
      </c>
      <c r="H8" s="242"/>
      <c r="I8" s="242"/>
      <c r="J8" s="243"/>
    </row>
    <row r="9" spans="2:12" s="208" customFormat="1" ht="24" x14ac:dyDescent="0.2">
      <c r="B9" s="213" t="s">
        <v>285</v>
      </c>
      <c r="C9" s="223">
        <f>C7+C8</f>
        <v>85500</v>
      </c>
      <c r="D9" s="224"/>
      <c r="E9" s="225"/>
      <c r="G9" s="244" t="s">
        <v>286</v>
      </c>
      <c r="H9" s="245"/>
      <c r="I9" s="245"/>
      <c r="J9" s="246"/>
    </row>
    <row r="10" spans="2:12" s="208" customFormat="1" ht="24" x14ac:dyDescent="0.2">
      <c r="B10" s="212" t="s">
        <v>287</v>
      </c>
      <c r="C10" s="226">
        <v>8900</v>
      </c>
      <c r="D10" s="227"/>
      <c r="E10" s="228"/>
      <c r="G10" s="244" t="s">
        <v>288</v>
      </c>
      <c r="H10" s="245"/>
      <c r="I10" s="245"/>
      <c r="J10" s="246"/>
    </row>
    <row r="11" spans="2:12" s="208" customFormat="1" ht="24" x14ac:dyDescent="0.2">
      <c r="B11" s="213" t="s">
        <v>289</v>
      </c>
      <c r="C11" s="223">
        <f>C9-C10</f>
        <v>76600</v>
      </c>
      <c r="D11" s="224"/>
      <c r="E11" s="225"/>
      <c r="G11" s="241" t="s">
        <v>290</v>
      </c>
      <c r="H11" s="242"/>
      <c r="I11" s="242"/>
      <c r="J11" s="243"/>
    </row>
    <row r="12" spans="2:12" s="208" customFormat="1" ht="24" x14ac:dyDescent="0.2">
      <c r="B12" s="212" t="s">
        <v>291</v>
      </c>
      <c r="C12" s="229">
        <v>1.7000000000000001E-2</v>
      </c>
      <c r="D12" s="230"/>
      <c r="E12" s="231"/>
      <c r="G12" s="244" t="s">
        <v>292</v>
      </c>
      <c r="H12" s="245"/>
      <c r="I12" s="245"/>
      <c r="J12" s="246"/>
    </row>
    <row r="13" spans="2:12" s="208" customFormat="1" ht="24" x14ac:dyDescent="0.2">
      <c r="B13" s="212" t="s">
        <v>293</v>
      </c>
      <c r="C13" s="235">
        <v>48</v>
      </c>
      <c r="D13" s="236"/>
      <c r="E13" s="237"/>
      <c r="G13" s="241" t="s">
        <v>294</v>
      </c>
      <c r="H13" s="242"/>
      <c r="I13" s="242"/>
      <c r="J13" s="243"/>
    </row>
    <row r="14" spans="2:12" s="208" customFormat="1" ht="24" x14ac:dyDescent="0.2">
      <c r="B14" s="211" t="s">
        <v>295</v>
      </c>
      <c r="C14" s="232">
        <f>C11*C12*C13</f>
        <v>62505.600000000006</v>
      </c>
      <c r="D14" s="233"/>
      <c r="E14" s="234"/>
      <c r="G14" s="241" t="s">
        <v>296</v>
      </c>
      <c r="H14" s="242"/>
      <c r="I14" s="242"/>
      <c r="J14" s="243"/>
    </row>
    <row r="15" spans="2:12" s="208" customFormat="1" ht="24" x14ac:dyDescent="0.2">
      <c r="B15" s="213" t="s">
        <v>297</v>
      </c>
      <c r="C15" s="223">
        <f>C11+C14</f>
        <v>139105.60000000001</v>
      </c>
      <c r="D15" s="224"/>
      <c r="E15" s="225"/>
      <c r="G15" s="241" t="s">
        <v>298</v>
      </c>
      <c r="H15" s="242"/>
      <c r="I15" s="242"/>
      <c r="J15" s="243"/>
    </row>
    <row r="16" spans="2:12" s="208" customFormat="1" ht="24" x14ac:dyDescent="0.2">
      <c r="B16" s="214" t="s">
        <v>299</v>
      </c>
      <c r="C16" s="238">
        <f>ROUND(C15/C13, 0)</f>
        <v>2898</v>
      </c>
      <c r="D16" s="239"/>
      <c r="E16" s="240"/>
      <c r="G16" s="241" t="s">
        <v>300</v>
      </c>
      <c r="H16" s="242"/>
      <c r="I16" s="242"/>
      <c r="J16" s="243"/>
    </row>
    <row r="17" spans="2:10" s="208" customFormat="1" ht="24" x14ac:dyDescent="0.2">
      <c r="B17" s="215" t="s">
        <v>301</v>
      </c>
      <c r="C17" s="216"/>
      <c r="D17" s="215"/>
      <c r="E17" s="215">
        <v>2500</v>
      </c>
      <c r="G17" s="217"/>
      <c r="H17" s="218"/>
      <c r="I17" s="218"/>
      <c r="J17" s="218"/>
    </row>
    <row r="18" spans="2:10" s="208" customFormat="1" ht="24" x14ac:dyDescent="0.2">
      <c r="B18" s="215" t="s">
        <v>287</v>
      </c>
      <c r="C18" s="216"/>
      <c r="D18" s="215"/>
      <c r="E18" s="216">
        <f>C10</f>
        <v>8900</v>
      </c>
      <c r="G18" s="217"/>
      <c r="H18" s="218"/>
      <c r="I18" s="218"/>
      <c r="J18" s="218"/>
    </row>
    <row r="19" spans="2:10" s="208" customFormat="1" ht="24" x14ac:dyDescent="0.2">
      <c r="B19" s="215"/>
      <c r="C19" s="216"/>
      <c r="D19" s="215"/>
      <c r="E19" s="215"/>
      <c r="G19" s="217"/>
      <c r="H19" s="218"/>
      <c r="I19" s="218"/>
      <c r="J19" s="218"/>
    </row>
    <row r="20" spans="2:10" s="208" customFormat="1" ht="24" x14ac:dyDescent="0.2">
      <c r="B20" s="215" t="s">
        <v>302</v>
      </c>
      <c r="C20" s="216"/>
      <c r="D20" s="215"/>
      <c r="E20" s="216">
        <f>E18+E17</f>
        <v>11400</v>
      </c>
      <c r="G20" s="217"/>
      <c r="H20" s="218"/>
      <c r="I20" s="218"/>
      <c r="J20" s="218"/>
    </row>
    <row r="21" spans="2:10" s="208" customFormat="1" ht="24" x14ac:dyDescent="0.2"/>
    <row r="22" spans="2:10" s="208" customFormat="1" ht="24" x14ac:dyDescent="0.2"/>
  </sheetData>
  <mergeCells count="14">
    <mergeCell ref="C16:E16"/>
    <mergeCell ref="C13:E13"/>
    <mergeCell ref="C14:E14"/>
    <mergeCell ref="C15:E15"/>
    <mergeCell ref="C10:E10"/>
    <mergeCell ref="C11:E11"/>
    <mergeCell ref="C12:E12"/>
    <mergeCell ref="C7:E7"/>
    <mergeCell ref="C8:E8"/>
    <mergeCell ref="C9:E9"/>
    <mergeCell ref="B2:L2"/>
    <mergeCell ref="B3:L3"/>
    <mergeCell ref="B5:E5"/>
    <mergeCell ref="C6:E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81"/>
  <sheetViews>
    <sheetView workbookViewId="0">
      <pane ySplit="3" topLeftCell="A26" activePane="bottomLeft" state="frozen"/>
      <selection pane="bottomLeft" activeCell="F43" sqref="F43"/>
    </sheetView>
  </sheetViews>
  <sheetFormatPr defaultRowHeight="14.25" x14ac:dyDescent="0.2"/>
  <cols>
    <col min="1" max="1" width="22" customWidth="1"/>
    <col min="2" max="2" width="9" customWidth="1"/>
    <col min="3" max="3" width="10" customWidth="1"/>
    <col min="4" max="4" width="9" customWidth="1"/>
    <col min="5" max="5" width="8" customWidth="1"/>
    <col min="6" max="6" width="9" customWidth="1"/>
    <col min="7" max="8" width="10" customWidth="1"/>
    <col min="9" max="14" width="8" customWidth="1"/>
  </cols>
  <sheetData>
    <row r="1" spans="1:14" ht="30" customHeight="1" x14ac:dyDescent="0.2">
      <c r="A1" s="167" t="s">
        <v>0</v>
      </c>
      <c r="B1" s="168"/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</row>
    <row r="2" spans="1:14" x14ac:dyDescent="0.2">
      <c r="A2" s="166" t="s">
        <v>1</v>
      </c>
      <c r="B2" s="166" t="s">
        <v>2</v>
      </c>
      <c r="C2" s="166" t="s">
        <v>3</v>
      </c>
      <c r="D2" s="166" t="s">
        <v>4</v>
      </c>
      <c r="E2" s="166" t="s">
        <v>5</v>
      </c>
      <c r="F2" s="166" t="s">
        <v>6</v>
      </c>
      <c r="G2" s="166" t="s">
        <v>7</v>
      </c>
      <c r="H2" s="166" t="s">
        <v>8</v>
      </c>
      <c r="I2" s="166" t="s">
        <v>9</v>
      </c>
      <c r="J2" s="166"/>
      <c r="K2" s="166"/>
      <c r="L2" s="166"/>
      <c r="M2" s="166"/>
      <c r="N2" s="166"/>
    </row>
    <row r="3" spans="1:14" x14ac:dyDescent="0.2">
      <c r="A3" s="166"/>
      <c r="B3" s="166"/>
      <c r="C3" s="166"/>
      <c r="D3" s="166"/>
      <c r="E3" s="166"/>
      <c r="F3" s="166"/>
      <c r="G3" s="166"/>
      <c r="H3" s="166"/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</row>
    <row r="4" spans="1:14" x14ac:dyDescent="0.2">
      <c r="A4" s="164" t="s">
        <v>16</v>
      </c>
      <c r="B4" s="164" t="s">
        <v>17</v>
      </c>
      <c r="C4" s="161">
        <v>54600</v>
      </c>
      <c r="D4" s="165">
        <v>1.4999999999999999E-2</v>
      </c>
      <c r="E4" s="4">
        <v>0</v>
      </c>
      <c r="F4" s="2">
        <v>0</v>
      </c>
      <c r="G4" s="161">
        <v>1000</v>
      </c>
      <c r="H4" s="5">
        <f>F4+G4</f>
        <v>1000</v>
      </c>
      <c r="I4" s="5">
        <f>ROUNDUP(((C4-F4) + ((C4-F4)*D4*12))/12, 0)</f>
        <v>5369</v>
      </c>
      <c r="J4" s="5">
        <f>ROUNDUP(((C4-F4) + ((C4-F4)*D4*18))/18, 0)</f>
        <v>3853</v>
      </c>
      <c r="K4" s="5">
        <f>ROUNDUP(((C4-F4) + ((C4-F4)*D4*24))/24, 0)</f>
        <v>3094</v>
      </c>
      <c r="L4" s="5">
        <f>ROUNDUP(((C4-F4) + ((C4-F4)*D4*30))/30, 0)</f>
        <v>2639</v>
      </c>
      <c r="M4" s="5">
        <f>ROUNDUP(((C4-F4) + ((C4-F4)*D4*36))/36, 0)</f>
        <v>2336</v>
      </c>
      <c r="N4" s="6">
        <f>ROUNDUP(((C4-F4) + ((C4-F4)*D4*48))/48, 0)</f>
        <v>1957</v>
      </c>
    </row>
    <row r="5" spans="1:14" x14ac:dyDescent="0.2">
      <c r="A5" s="162"/>
      <c r="B5" s="162"/>
      <c r="C5" s="162"/>
      <c r="D5" s="162"/>
      <c r="E5" s="7">
        <v>0.05</v>
      </c>
      <c r="F5" s="8">
        <f>ROUND(C4*E5, 0)</f>
        <v>2730</v>
      </c>
      <c r="G5" s="162"/>
      <c r="H5" s="8">
        <f>F5+G4</f>
        <v>3730</v>
      </c>
      <c r="I5" s="8">
        <f>ROUNDUP(((C4-F5) + ((C4-F5)*D4*12))/12, 0)</f>
        <v>5101</v>
      </c>
      <c r="J5" s="8">
        <f>ROUNDUP(((C4-F5) + ((C4-F5)*D4*18))/18, 0)</f>
        <v>3660</v>
      </c>
      <c r="K5" s="8">
        <f>ROUNDUP(((C4-F5) + ((C4-F5)*D4*24))/24, 0)</f>
        <v>2940</v>
      </c>
      <c r="L5" s="8">
        <f>ROUNDUP(((C4-F5) + ((C4-F5)*D4*30))/30, 0)</f>
        <v>2508</v>
      </c>
      <c r="M5" s="8">
        <f>ROUNDUP(((C4-F5) + ((C4-F5)*D4*36))/36, 0)</f>
        <v>2219</v>
      </c>
      <c r="N5" s="8">
        <f>ROUNDUP(((C4-F5) + ((C4-F5)*D4*48))/48, 0)</f>
        <v>1859</v>
      </c>
    </row>
    <row r="6" spans="1:14" x14ac:dyDescent="0.2">
      <c r="A6" s="162"/>
      <c r="B6" s="162"/>
      <c r="C6" s="162"/>
      <c r="D6" s="162"/>
      <c r="E6" s="7">
        <v>0.1</v>
      </c>
      <c r="F6" s="8">
        <f>ROUND(C4*E6, 0)</f>
        <v>5460</v>
      </c>
      <c r="G6" s="162"/>
      <c r="H6" s="8">
        <f>F6+G4</f>
        <v>6460</v>
      </c>
      <c r="I6" s="8">
        <f>ROUNDUP(((C4-F6) + ((C4-F6)*D4*12))/12, 0)</f>
        <v>4833</v>
      </c>
      <c r="J6" s="8">
        <f>ROUNDUP(((C4-F6) + ((C4-F6)*D4*18))/18, 0)</f>
        <v>3468</v>
      </c>
      <c r="K6" s="8">
        <f>ROUNDUP(((C4-F6) + ((C4-F6)*D4*24))/24, 0)</f>
        <v>2785</v>
      </c>
      <c r="L6" s="8">
        <f>ROUNDUP(((C4-F6) + ((C4-F6)*D4*30))/30, 0)</f>
        <v>2376</v>
      </c>
      <c r="M6" s="8">
        <f>ROUNDUP(((C4-F6) + ((C4-F6)*D4*36))/36, 0)</f>
        <v>2103</v>
      </c>
      <c r="N6" s="8">
        <f>ROUNDUP(((C4-F6) + ((C4-F6)*D4*48))/48, 0)</f>
        <v>1761</v>
      </c>
    </row>
    <row r="7" spans="1:14" x14ac:dyDescent="0.2">
      <c r="A7" s="163"/>
      <c r="B7" s="163"/>
      <c r="C7" s="163"/>
      <c r="D7" s="163"/>
      <c r="E7" s="7">
        <v>0.15</v>
      </c>
      <c r="F7" s="8">
        <f>ROUND(C4*E7, 0)</f>
        <v>8190</v>
      </c>
      <c r="G7" s="163"/>
      <c r="H7" s="8">
        <f>F7+G4</f>
        <v>9190</v>
      </c>
      <c r="I7" s="8">
        <f>ROUNDUP(((C4-F7) + ((C4-F7)*D4*12))/12, 0)</f>
        <v>4564</v>
      </c>
      <c r="J7" s="8">
        <f>ROUNDUP(((C4-F7) + ((C4-F7)*D4*18))/18, 0)</f>
        <v>3275</v>
      </c>
      <c r="K7" s="8">
        <f>ROUNDUP(((C4-F7) + ((C4-F7)*D4*24))/24, 0)</f>
        <v>2630</v>
      </c>
      <c r="L7" s="8">
        <f>ROUNDUP(((C4-F7) + ((C4-F7)*D4*30))/30, 0)</f>
        <v>2244</v>
      </c>
      <c r="M7" s="8">
        <f>ROUNDUP(((C4-F7) + ((C4-F7)*D4*36))/36, 0)</f>
        <v>1986</v>
      </c>
      <c r="N7" s="8">
        <f>ROUNDUP(((C4-F7) + ((C4-F7)*D4*48))/48, 0)</f>
        <v>1664</v>
      </c>
    </row>
    <row r="8" spans="1:14" x14ac:dyDescent="0.2">
      <c r="A8" s="164" t="s">
        <v>18</v>
      </c>
      <c r="B8" s="164" t="s">
        <v>19</v>
      </c>
      <c r="C8" s="161">
        <v>53200</v>
      </c>
      <c r="D8" s="165">
        <v>1.4999999999999999E-2</v>
      </c>
      <c r="E8" s="4">
        <v>0</v>
      </c>
      <c r="F8" s="2">
        <v>0</v>
      </c>
      <c r="G8" s="161">
        <v>1000</v>
      </c>
      <c r="H8" s="5">
        <f>F8+G8</f>
        <v>1000</v>
      </c>
      <c r="I8" s="5">
        <f>ROUNDUP(((C8-F8) + ((C8-F8)*D8*12))/12, 0)</f>
        <v>5232</v>
      </c>
      <c r="J8" s="5">
        <f>ROUNDUP(((C8-F8) + ((C8-F8)*D8*18))/18, 0)</f>
        <v>3754</v>
      </c>
      <c r="K8" s="5">
        <f>ROUNDUP(((C8-F8) + ((C8-F8)*D8*24))/24, 0)</f>
        <v>3015</v>
      </c>
      <c r="L8" s="5">
        <f>ROUNDUP(((C8-F8) + ((C8-F8)*D8*30))/30, 0)</f>
        <v>2572</v>
      </c>
      <c r="M8" s="5">
        <f>ROUNDUP(((C8-F8) + ((C8-F8)*D8*36))/36, 0)</f>
        <v>2276</v>
      </c>
      <c r="N8" s="6">
        <f>ROUNDUP(((C8-F8) + ((C8-F8)*D8*48))/48, 0)</f>
        <v>1907</v>
      </c>
    </row>
    <row r="9" spans="1:14" x14ac:dyDescent="0.2">
      <c r="A9" s="162"/>
      <c r="B9" s="162"/>
      <c r="C9" s="162"/>
      <c r="D9" s="162"/>
      <c r="E9" s="7">
        <v>0.05</v>
      </c>
      <c r="F9" s="8">
        <f>ROUND(C8*E9, 0)</f>
        <v>2660</v>
      </c>
      <c r="G9" s="162"/>
      <c r="H9" s="8">
        <f>F9+G8</f>
        <v>3660</v>
      </c>
      <c r="I9" s="8">
        <f>ROUNDUP(((C8-F9) + ((C8-F9)*D8*12))/12, 0)</f>
        <v>4970</v>
      </c>
      <c r="J9" s="8">
        <f>ROUNDUP(((C8-F9) + ((C8-F9)*D8*18))/18, 0)</f>
        <v>3566</v>
      </c>
      <c r="K9" s="8">
        <f>ROUNDUP(((C8-F9) + ((C8-F9)*D8*24))/24, 0)</f>
        <v>2864</v>
      </c>
      <c r="L9" s="8">
        <f>ROUNDUP(((C8-F9) + ((C8-F9)*D8*30))/30, 0)</f>
        <v>2443</v>
      </c>
      <c r="M9" s="8">
        <f>ROUNDUP(((C8-F9) + ((C8-F9)*D8*36))/36, 0)</f>
        <v>2162</v>
      </c>
      <c r="N9" s="8">
        <f>ROUNDUP(((C8-F9) + ((C8-F9)*D8*48))/48, 0)</f>
        <v>1812</v>
      </c>
    </row>
    <row r="10" spans="1:14" x14ac:dyDescent="0.2">
      <c r="A10" s="162"/>
      <c r="B10" s="162"/>
      <c r="C10" s="162"/>
      <c r="D10" s="162"/>
      <c r="E10" s="7">
        <v>0.1</v>
      </c>
      <c r="F10" s="8">
        <f>ROUND(C8*E10, 0)</f>
        <v>5320</v>
      </c>
      <c r="G10" s="162"/>
      <c r="H10" s="8">
        <f>F10+G8</f>
        <v>6320</v>
      </c>
      <c r="I10" s="8">
        <f>ROUNDUP(((C8-F10) + ((C8-F10)*D8*12))/12, 0)</f>
        <v>4709</v>
      </c>
      <c r="J10" s="8">
        <f>ROUNDUP(((C8-F10) + ((C8-F10)*D8*18))/18, 0)</f>
        <v>3379</v>
      </c>
      <c r="K10" s="8">
        <f>ROUNDUP(((C8-F10) + ((C8-F10)*D8*24))/24, 0)</f>
        <v>2714</v>
      </c>
      <c r="L10" s="8">
        <f>ROUNDUP(((C8-F10) + ((C8-F10)*D8*30))/30, 0)</f>
        <v>2315</v>
      </c>
      <c r="M10" s="8">
        <f>ROUNDUP(((C8-F10) + ((C8-F10)*D8*36))/36, 0)</f>
        <v>2049</v>
      </c>
      <c r="N10" s="8">
        <f>ROUNDUP(((C8-F10) + ((C8-F10)*D8*48))/48, 0)</f>
        <v>1716</v>
      </c>
    </row>
    <row r="11" spans="1:14" x14ac:dyDescent="0.2">
      <c r="A11" s="163"/>
      <c r="B11" s="163"/>
      <c r="C11" s="163"/>
      <c r="D11" s="163"/>
      <c r="E11" s="7">
        <v>0.15</v>
      </c>
      <c r="F11" s="8">
        <f>ROUND(C8*E11, 0)</f>
        <v>7980</v>
      </c>
      <c r="G11" s="163"/>
      <c r="H11" s="8">
        <f>F11+G8</f>
        <v>8980</v>
      </c>
      <c r="I11" s="8">
        <f>ROUNDUP(((C8-F11) + ((C8-F11)*D8*12))/12, 0)</f>
        <v>4447</v>
      </c>
      <c r="J11" s="8">
        <f>ROUNDUP(((C8-F11) + ((C8-F11)*D8*18))/18, 0)</f>
        <v>3191</v>
      </c>
      <c r="K11" s="8">
        <f>ROUNDUP(((C8-F11) + ((C8-F11)*D8*24))/24, 0)</f>
        <v>2563</v>
      </c>
      <c r="L11" s="8">
        <f>ROUNDUP(((C8-F11) + ((C8-F11)*D8*30))/30, 0)</f>
        <v>2186</v>
      </c>
      <c r="M11" s="8">
        <f>ROUNDUP(((C8-F11) + ((C8-F11)*D8*36))/36, 0)</f>
        <v>1935</v>
      </c>
      <c r="N11" s="8">
        <f>ROUNDUP(((C8-F11) + ((C8-F11)*D8*48))/48, 0)</f>
        <v>1621</v>
      </c>
    </row>
    <row r="12" spans="1:14" x14ac:dyDescent="0.2">
      <c r="A12" s="164" t="s">
        <v>16</v>
      </c>
      <c r="B12" s="164" t="s">
        <v>20</v>
      </c>
      <c r="C12" s="161">
        <v>55200</v>
      </c>
      <c r="D12" s="165">
        <v>1.4999999999999999E-2</v>
      </c>
      <c r="E12" s="4">
        <v>0</v>
      </c>
      <c r="F12" s="2">
        <v>2900</v>
      </c>
      <c r="G12" s="161">
        <v>1000</v>
      </c>
      <c r="H12" s="5">
        <f>F12+G12</f>
        <v>3900</v>
      </c>
      <c r="I12" s="5">
        <f>ROUNDUP(((C12-F12) + ((C12-F12)*D12*12))/12, 0)</f>
        <v>5143</v>
      </c>
      <c r="J12" s="5">
        <f>ROUNDUP(((C12-F12) + ((C12-F12)*D12*18))/18, 0)</f>
        <v>3691</v>
      </c>
      <c r="K12" s="5">
        <f>ROUNDUP(((C12-F12) + ((C12-F12)*D12*24))/24, 0)</f>
        <v>2964</v>
      </c>
      <c r="L12" s="5">
        <f>ROUNDUP(((C12-F12) + ((C12-F12)*D12*30))/30, 0)</f>
        <v>2528</v>
      </c>
      <c r="M12" s="5">
        <f>ROUNDUP(((C12-F12) + ((C12-F12)*D12*36))/36, 0)</f>
        <v>2238</v>
      </c>
      <c r="N12" s="6">
        <f>ROUNDUP(((C12-F12) + ((C12-F12)*D12*48))/48, 0)</f>
        <v>1875</v>
      </c>
    </row>
    <row r="13" spans="1:14" x14ac:dyDescent="0.2">
      <c r="A13" s="162"/>
      <c r="B13" s="162"/>
      <c r="C13" s="162"/>
      <c r="D13" s="162"/>
      <c r="E13" s="7">
        <v>0.05</v>
      </c>
      <c r="F13" s="8">
        <f>ROUND(C12*E13, 0)</f>
        <v>2760</v>
      </c>
      <c r="G13" s="162"/>
      <c r="H13" s="8">
        <f>F13+G12</f>
        <v>3760</v>
      </c>
      <c r="I13" s="8">
        <f>ROUNDUP(((C12-F13) + ((C12-F13)*D12*12))/12, 0)</f>
        <v>5157</v>
      </c>
      <c r="J13" s="8">
        <f>ROUNDUP(((C12-F13) + ((C12-F13)*D12*18))/18, 0)</f>
        <v>3700</v>
      </c>
      <c r="K13" s="8">
        <f>ROUNDUP(((C12-F13) + ((C12-F13)*D12*24))/24, 0)</f>
        <v>2972</v>
      </c>
      <c r="L13" s="8">
        <f>ROUNDUP(((C12-F13) + ((C12-F13)*D12*30))/30, 0)</f>
        <v>2535</v>
      </c>
      <c r="M13" s="8">
        <f>ROUNDUP(((C12-F13) + ((C12-F13)*D12*36))/36, 0)</f>
        <v>2244</v>
      </c>
      <c r="N13" s="8">
        <f>ROUNDUP(((C12-F13) + ((C12-F13)*D12*48))/48, 0)</f>
        <v>1880</v>
      </c>
    </row>
    <row r="14" spans="1:14" x14ac:dyDescent="0.2">
      <c r="A14" s="162"/>
      <c r="B14" s="162"/>
      <c r="C14" s="162"/>
      <c r="D14" s="162"/>
      <c r="E14" s="7">
        <v>0.1</v>
      </c>
      <c r="F14" s="8">
        <f>ROUND(C12*E14, 0)</f>
        <v>5520</v>
      </c>
      <c r="G14" s="162"/>
      <c r="H14" s="8">
        <f>F14+G12</f>
        <v>6520</v>
      </c>
      <c r="I14" s="8">
        <f>ROUNDUP(((C12-F14) + ((C12-F14)*D12*12))/12, 0)</f>
        <v>4886</v>
      </c>
      <c r="J14" s="8">
        <f>ROUNDUP(((C12-F14) + ((C12-F14)*D12*18))/18, 0)</f>
        <v>3506</v>
      </c>
      <c r="K14" s="8">
        <f>ROUNDUP(((C12-F14) + ((C12-F14)*D12*24))/24, 0)</f>
        <v>2816</v>
      </c>
      <c r="L14" s="8">
        <f>ROUNDUP(((C12-F14) + ((C12-F14)*D12*30))/30, 0)</f>
        <v>2402</v>
      </c>
      <c r="M14" s="8">
        <f>ROUNDUP(((C12-F14) + ((C12-F14)*D12*36))/36, 0)</f>
        <v>2126</v>
      </c>
      <c r="N14" s="8">
        <f>ROUNDUP(((C12-F14) + ((C12-F14)*D12*48))/48, 0)</f>
        <v>1781</v>
      </c>
    </row>
    <row r="15" spans="1:14" x14ac:dyDescent="0.2">
      <c r="A15" s="163"/>
      <c r="B15" s="163"/>
      <c r="C15" s="163"/>
      <c r="D15" s="163"/>
      <c r="E15" s="7">
        <v>0.15</v>
      </c>
      <c r="F15" s="8">
        <f>ROUND(C12*E15, 0)</f>
        <v>8280</v>
      </c>
      <c r="G15" s="163"/>
      <c r="H15" s="8">
        <f>F15+G12</f>
        <v>9280</v>
      </c>
      <c r="I15" s="8">
        <f>ROUNDUP(((C12-F15) + ((C12-F15)*D12*12))/12, 0)</f>
        <v>4614</v>
      </c>
      <c r="J15" s="8">
        <f>ROUNDUP(((C12-F15) + ((C12-F15)*D12*18))/18, 0)</f>
        <v>3311</v>
      </c>
      <c r="K15" s="8">
        <f>ROUNDUP(((C12-F15) + ((C12-F15)*D12*24))/24, 0)</f>
        <v>2659</v>
      </c>
      <c r="L15" s="8">
        <f>ROUNDUP(((C12-F15) + ((C12-F15)*D12*30))/30, 0)</f>
        <v>2268</v>
      </c>
      <c r="M15" s="8">
        <f>ROUNDUP(((C12-F15) + ((C12-F15)*D12*36))/36, 0)</f>
        <v>2008</v>
      </c>
      <c r="N15" s="8">
        <f>ROUNDUP(((C12-F15) + ((C12-F15)*D12*48))/48, 0)</f>
        <v>1682</v>
      </c>
    </row>
    <row r="16" spans="1:14" x14ac:dyDescent="0.2">
      <c r="A16" s="164" t="s">
        <v>21</v>
      </c>
      <c r="B16" s="164" t="s">
        <v>22</v>
      </c>
      <c r="C16" s="161">
        <v>62200</v>
      </c>
      <c r="D16" s="165">
        <v>1.4999999999999999E-2</v>
      </c>
      <c r="E16" s="4">
        <v>0</v>
      </c>
      <c r="F16" s="2">
        <v>3900</v>
      </c>
      <c r="G16" s="161">
        <v>1000</v>
      </c>
      <c r="H16" s="5">
        <f>F16+G16</f>
        <v>4900</v>
      </c>
      <c r="I16" s="5">
        <f>ROUNDUP(((C16-F16) + ((C16-F16)*D16*12))/12, 0)</f>
        <v>5733</v>
      </c>
      <c r="J16" s="5">
        <f>ROUNDUP(((C16-F16) + ((C16-F16)*D16*18))/18, 0)</f>
        <v>4114</v>
      </c>
      <c r="K16" s="5">
        <f>ROUNDUP(((C16-F16) + ((C16-F16)*D16*24))/24, 0)</f>
        <v>3304</v>
      </c>
      <c r="L16" s="5">
        <f>ROUNDUP(((C16-F16) + ((C16-F16)*D16*30))/30, 0)</f>
        <v>2818</v>
      </c>
      <c r="M16" s="5">
        <f>ROUNDUP(((C16-F16) + ((C16-F16)*D16*36))/36, 0)</f>
        <v>2494</v>
      </c>
      <c r="N16" s="6">
        <f>ROUNDUP(((C16-F16) + ((C16-F16)*D16*48))/48, 0)</f>
        <v>2090</v>
      </c>
    </row>
    <row r="17" spans="1:14" x14ac:dyDescent="0.2">
      <c r="A17" s="162"/>
      <c r="B17" s="162"/>
      <c r="C17" s="162"/>
      <c r="D17" s="162"/>
      <c r="E17" s="7">
        <v>0.05</v>
      </c>
      <c r="F17" s="8">
        <f>ROUND(C16*E17, 0)</f>
        <v>3110</v>
      </c>
      <c r="G17" s="162"/>
      <c r="H17" s="8">
        <f>F17+G16</f>
        <v>4110</v>
      </c>
      <c r="I17" s="8">
        <f>ROUNDUP(((C16-F17) + ((C16-F17)*D16*12))/12, 0)</f>
        <v>5811</v>
      </c>
      <c r="J17" s="8">
        <f>ROUNDUP(((C16-F17) + ((C16-F17)*D16*18))/18, 0)</f>
        <v>4170</v>
      </c>
      <c r="K17" s="8">
        <f>ROUNDUP(((C16-F17) + ((C16-F17)*D16*24))/24, 0)</f>
        <v>3349</v>
      </c>
      <c r="L17" s="8">
        <f>ROUNDUP(((C16-F17) + ((C16-F17)*D16*30))/30, 0)</f>
        <v>2857</v>
      </c>
      <c r="M17" s="8">
        <f>ROUNDUP(((C16-F17) + ((C16-F17)*D16*36))/36, 0)</f>
        <v>2528</v>
      </c>
      <c r="N17" s="8">
        <f>ROUNDUP(((C16-F17) + ((C16-F17)*D16*48))/48, 0)</f>
        <v>2118</v>
      </c>
    </row>
    <row r="18" spans="1:14" x14ac:dyDescent="0.2">
      <c r="A18" s="162"/>
      <c r="B18" s="162"/>
      <c r="C18" s="162"/>
      <c r="D18" s="162"/>
      <c r="E18" s="7">
        <v>0.1</v>
      </c>
      <c r="F18" s="8">
        <f>ROUND(C16*E18, 0)</f>
        <v>6220</v>
      </c>
      <c r="G18" s="162"/>
      <c r="H18" s="8">
        <f>F18+G16</f>
        <v>7220</v>
      </c>
      <c r="I18" s="8">
        <f>ROUNDUP(((C16-F18) + ((C16-F18)*D16*12))/12, 0)</f>
        <v>5505</v>
      </c>
      <c r="J18" s="8">
        <f>ROUNDUP(((C16-F18) + ((C16-F18)*D16*18))/18, 0)</f>
        <v>3950</v>
      </c>
      <c r="K18" s="8">
        <f>ROUNDUP(((C16-F18) + ((C16-F18)*D16*24))/24, 0)</f>
        <v>3173</v>
      </c>
      <c r="L18" s="8">
        <f>ROUNDUP(((C16-F18) + ((C16-F18)*D16*30))/30, 0)</f>
        <v>2706</v>
      </c>
      <c r="M18" s="8">
        <f>ROUNDUP(((C16-F18) + ((C16-F18)*D16*36))/36, 0)</f>
        <v>2395</v>
      </c>
      <c r="N18" s="8">
        <f>ROUNDUP(((C16-F18) + ((C16-F18)*D16*48))/48, 0)</f>
        <v>2006</v>
      </c>
    </row>
    <row r="19" spans="1:14" x14ac:dyDescent="0.2">
      <c r="A19" s="163"/>
      <c r="B19" s="163"/>
      <c r="C19" s="163"/>
      <c r="D19" s="163"/>
      <c r="E19" s="7">
        <v>0.15</v>
      </c>
      <c r="F19" s="8">
        <f>ROUND(C16*E19, 0)</f>
        <v>9330</v>
      </c>
      <c r="G19" s="163"/>
      <c r="H19" s="8">
        <f>F19+G16</f>
        <v>10330</v>
      </c>
      <c r="I19" s="8">
        <f>ROUNDUP(((C16-F19) + ((C16-F19)*D16*12))/12, 0)</f>
        <v>5199</v>
      </c>
      <c r="J19" s="8">
        <f>ROUNDUP(((C16-F19) + ((C16-F19)*D16*18))/18, 0)</f>
        <v>3731</v>
      </c>
      <c r="K19" s="8">
        <f>ROUNDUP(((C16-F19) + ((C16-F19)*D16*24))/24, 0)</f>
        <v>2996</v>
      </c>
      <c r="L19" s="8">
        <f>ROUNDUP(((C16-F19) + ((C16-F19)*D16*30))/30, 0)</f>
        <v>2556</v>
      </c>
      <c r="M19" s="8">
        <f>ROUNDUP(((C16-F19) + ((C16-F19)*D16*36))/36, 0)</f>
        <v>2262</v>
      </c>
      <c r="N19" s="8">
        <f>ROUNDUP(((C16-F19) + ((C16-F19)*D16*48))/48, 0)</f>
        <v>1895</v>
      </c>
    </row>
    <row r="20" spans="1:14" x14ac:dyDescent="0.2">
      <c r="A20" s="164" t="s">
        <v>23</v>
      </c>
      <c r="B20" s="164" t="s">
        <v>24</v>
      </c>
      <c r="C20" s="161">
        <v>53200</v>
      </c>
      <c r="D20" s="165">
        <v>1.4999999999999999E-2</v>
      </c>
      <c r="E20" s="4">
        <v>0</v>
      </c>
      <c r="F20" s="2">
        <v>2000</v>
      </c>
      <c r="G20" s="161">
        <v>1000</v>
      </c>
      <c r="H20" s="5">
        <f>F20+G20</f>
        <v>3000</v>
      </c>
      <c r="I20" s="5">
        <f>ROUNDUP(((C20-F20) + ((C20-F20)*D20*12))/12, 0)</f>
        <v>5035</v>
      </c>
      <c r="J20" s="5">
        <f>ROUNDUP(((C20-F20) + ((C20-F20)*D20*18))/18, 0)</f>
        <v>3613</v>
      </c>
      <c r="K20" s="5">
        <f>ROUNDUP(((C20-F20) + ((C20-F20)*D20*24))/24, 0)</f>
        <v>2902</v>
      </c>
      <c r="L20" s="5">
        <f>ROUNDUP(((C20-F20) + ((C20-F20)*D20*30))/30, 0)</f>
        <v>2475</v>
      </c>
      <c r="M20" s="5">
        <f>ROUNDUP(((C20-F20) + ((C20-F20)*D20*36))/36, 0)</f>
        <v>2191</v>
      </c>
      <c r="N20" s="6">
        <f>ROUNDUP(((C20-F20) + ((C20-F20)*D20*48))/48, 0)</f>
        <v>1835</v>
      </c>
    </row>
    <row r="21" spans="1:14" x14ac:dyDescent="0.2">
      <c r="A21" s="162"/>
      <c r="B21" s="162"/>
      <c r="C21" s="162"/>
      <c r="D21" s="162"/>
      <c r="E21" s="7">
        <v>0.05</v>
      </c>
      <c r="F21" s="8">
        <f>ROUND(C20*E21, 0)</f>
        <v>2660</v>
      </c>
      <c r="G21" s="162"/>
      <c r="H21" s="8">
        <f>F21+G20</f>
        <v>3660</v>
      </c>
      <c r="I21" s="8">
        <f>ROUNDUP(((C20-F21) + ((C20-F21)*D20*12))/12, 0)</f>
        <v>4970</v>
      </c>
      <c r="J21" s="8">
        <f>ROUNDUP(((C20-F21) + ((C20-F21)*D20*18))/18, 0)</f>
        <v>3566</v>
      </c>
      <c r="K21" s="8">
        <f>ROUNDUP(((C20-F21) + ((C20-F21)*D20*24))/24, 0)</f>
        <v>2864</v>
      </c>
      <c r="L21" s="8">
        <f>ROUNDUP(((C20-F21) + ((C20-F21)*D20*30))/30, 0)</f>
        <v>2443</v>
      </c>
      <c r="M21" s="8">
        <f>ROUNDUP(((C20-F21) + ((C20-F21)*D20*36))/36, 0)</f>
        <v>2162</v>
      </c>
      <c r="N21" s="8">
        <f>ROUNDUP(((C20-F21) + ((C20-F21)*D20*48))/48, 0)</f>
        <v>1812</v>
      </c>
    </row>
    <row r="22" spans="1:14" x14ac:dyDescent="0.2">
      <c r="A22" s="162"/>
      <c r="B22" s="162"/>
      <c r="C22" s="162"/>
      <c r="D22" s="162"/>
      <c r="E22" s="7">
        <v>0.1</v>
      </c>
      <c r="F22" s="8">
        <f>ROUND(C20*E22, 0)</f>
        <v>5320</v>
      </c>
      <c r="G22" s="162"/>
      <c r="H22" s="8">
        <f>F22+G20</f>
        <v>6320</v>
      </c>
      <c r="I22" s="8">
        <f>ROUNDUP(((C20-F22) + ((C20-F22)*D20*12))/12, 0)</f>
        <v>4709</v>
      </c>
      <c r="J22" s="8">
        <f>ROUNDUP(((C20-F22) + ((C20-F22)*D20*18))/18, 0)</f>
        <v>3379</v>
      </c>
      <c r="K22" s="8">
        <f>ROUNDUP(((C20-F22) + ((C20-F22)*D20*24))/24, 0)</f>
        <v>2714</v>
      </c>
      <c r="L22" s="8">
        <f>ROUNDUP(((C20-F22) + ((C20-F22)*D20*30))/30, 0)</f>
        <v>2315</v>
      </c>
      <c r="M22" s="8">
        <f>ROUNDUP(((C20-F22) + ((C20-F22)*D20*36))/36, 0)</f>
        <v>2049</v>
      </c>
      <c r="N22" s="8">
        <f>ROUNDUP(((C20-F22) + ((C20-F22)*D20*48))/48, 0)</f>
        <v>1716</v>
      </c>
    </row>
    <row r="23" spans="1:14" x14ac:dyDescent="0.2">
      <c r="A23" s="163"/>
      <c r="B23" s="163"/>
      <c r="C23" s="163"/>
      <c r="D23" s="163"/>
      <c r="E23" s="7">
        <v>0.15</v>
      </c>
      <c r="F23" s="8">
        <f>ROUND(C20*E23, 0)</f>
        <v>7980</v>
      </c>
      <c r="G23" s="163"/>
      <c r="H23" s="8">
        <f>F23+G20</f>
        <v>8980</v>
      </c>
      <c r="I23" s="8">
        <f>ROUNDUP(((C20-F23) + ((C20-F23)*D20*12))/12, 0)</f>
        <v>4447</v>
      </c>
      <c r="J23" s="8">
        <f>ROUNDUP(((C20-F23) + ((C20-F23)*D20*18))/18, 0)</f>
        <v>3191</v>
      </c>
      <c r="K23" s="8">
        <f>ROUNDUP(((C20-F23) + ((C20-F23)*D20*24))/24, 0)</f>
        <v>2563</v>
      </c>
      <c r="L23" s="8">
        <f>ROUNDUP(((C20-F23) + ((C20-F23)*D20*30))/30, 0)</f>
        <v>2186</v>
      </c>
      <c r="M23" s="8">
        <f>ROUNDUP(((C20-F23) + ((C20-F23)*D20*36))/36, 0)</f>
        <v>1935</v>
      </c>
      <c r="N23" s="8">
        <f>ROUNDUP(((C20-F23) + ((C20-F23)*D20*48))/48, 0)</f>
        <v>1621</v>
      </c>
    </row>
    <row r="24" spans="1:14" x14ac:dyDescent="0.2">
      <c r="A24" s="164" t="s">
        <v>25</v>
      </c>
      <c r="B24" s="164" t="s">
        <v>26</v>
      </c>
      <c r="C24" s="161">
        <v>71200</v>
      </c>
      <c r="D24" s="165">
        <v>1.4E-2</v>
      </c>
      <c r="E24" s="4">
        <v>0</v>
      </c>
      <c r="F24" s="2">
        <v>3900</v>
      </c>
      <c r="G24" s="161">
        <v>1000</v>
      </c>
      <c r="H24" s="5">
        <f>F24+G24</f>
        <v>4900</v>
      </c>
      <c r="I24" s="5">
        <f>ROUNDUP(((C24-F24) + ((C24-F24)*D24*12))/12, 0)</f>
        <v>6551</v>
      </c>
      <c r="J24" s="5">
        <f>ROUNDUP(((C24-F24) + ((C24-F24)*D24*18))/18, 0)</f>
        <v>4682</v>
      </c>
      <c r="K24" s="5">
        <f>ROUNDUP(((C24-F24) + ((C24-F24)*D24*24))/24, 0)</f>
        <v>3747</v>
      </c>
      <c r="L24" s="5">
        <f>ROUNDUP(((C24-F24) + ((C24-F24)*D24*30))/30, 0)</f>
        <v>3186</v>
      </c>
      <c r="M24" s="5">
        <f>ROUNDUP(((C24-F24) + ((C24-F24)*D24*36))/36, 0)</f>
        <v>2812</v>
      </c>
      <c r="N24" s="6">
        <f>ROUNDUP(((C24-F24) + ((C24-F24)*D24*48))/48, 0)</f>
        <v>2345</v>
      </c>
    </row>
    <row r="25" spans="1:14" x14ac:dyDescent="0.2">
      <c r="A25" s="162"/>
      <c r="B25" s="162"/>
      <c r="C25" s="162"/>
      <c r="D25" s="162"/>
      <c r="E25" s="7">
        <v>0.05</v>
      </c>
      <c r="F25" s="8">
        <f>ROUND(C24*E25, 0)</f>
        <v>3560</v>
      </c>
      <c r="G25" s="162"/>
      <c r="H25" s="8">
        <f>F25+G24</f>
        <v>4560</v>
      </c>
      <c r="I25" s="8">
        <f>ROUNDUP(((C24-F25) + ((C24-F25)*D24*12))/12, 0)</f>
        <v>6584</v>
      </c>
      <c r="J25" s="8">
        <f>ROUNDUP(((C24-F25) + ((C24-F25)*D24*18))/18, 0)</f>
        <v>4705</v>
      </c>
      <c r="K25" s="8">
        <f>ROUNDUP(((C24-F25) + ((C24-F25)*D24*24))/24, 0)</f>
        <v>3766</v>
      </c>
      <c r="L25" s="8">
        <f>ROUNDUP(((C24-F25) + ((C24-F25)*D24*30))/30, 0)</f>
        <v>3202</v>
      </c>
      <c r="M25" s="8">
        <f>ROUNDUP(((C24-F25) + ((C24-F25)*D24*36))/36, 0)</f>
        <v>2826</v>
      </c>
      <c r="N25" s="8">
        <f>ROUNDUP(((C24-F25) + ((C24-F25)*D24*48))/48, 0)</f>
        <v>2357</v>
      </c>
    </row>
    <row r="26" spans="1:14" x14ac:dyDescent="0.2">
      <c r="A26" s="162"/>
      <c r="B26" s="162"/>
      <c r="C26" s="162"/>
      <c r="D26" s="162"/>
      <c r="E26" s="7">
        <v>0.1</v>
      </c>
      <c r="F26" s="8">
        <f>ROUND(C24*E26, 0)</f>
        <v>7120</v>
      </c>
      <c r="G26" s="162"/>
      <c r="H26" s="8">
        <f>F26+G24</f>
        <v>8120</v>
      </c>
      <c r="I26" s="8">
        <f>ROUNDUP(((C24-F26) + ((C24-F26)*D24*12))/12, 0)</f>
        <v>6238</v>
      </c>
      <c r="J26" s="8">
        <f>ROUNDUP(((C24-F26) + ((C24-F26)*D24*18))/18, 0)</f>
        <v>4458</v>
      </c>
      <c r="K26" s="8">
        <f>ROUNDUP(((C24-F26) + ((C24-F26)*D24*24))/24, 0)</f>
        <v>3568</v>
      </c>
      <c r="L26" s="8">
        <f>ROUNDUP(((C24-F26) + ((C24-F26)*D24*30))/30, 0)</f>
        <v>3034</v>
      </c>
      <c r="M26" s="8">
        <f>ROUNDUP(((C24-F26) + ((C24-F26)*D24*36))/36, 0)</f>
        <v>2678</v>
      </c>
      <c r="N26" s="8">
        <f>ROUNDUP(((C24-F26) + ((C24-F26)*D24*48))/48, 0)</f>
        <v>2233</v>
      </c>
    </row>
    <row r="27" spans="1:14" x14ac:dyDescent="0.2">
      <c r="A27" s="163"/>
      <c r="B27" s="163"/>
      <c r="C27" s="163"/>
      <c r="D27" s="163"/>
      <c r="E27" s="7">
        <v>0.15</v>
      </c>
      <c r="F27" s="8">
        <f>ROUND(C24*E27, 0)</f>
        <v>10680</v>
      </c>
      <c r="G27" s="163"/>
      <c r="H27" s="8">
        <f>F27+G24</f>
        <v>11680</v>
      </c>
      <c r="I27" s="8">
        <f>ROUNDUP(((C24-F27) + ((C24-F27)*D24*12))/12, 0)</f>
        <v>5891</v>
      </c>
      <c r="J27" s="8">
        <f>ROUNDUP(((C24-F27) + ((C24-F27)*D24*18))/18, 0)</f>
        <v>4210</v>
      </c>
      <c r="K27" s="8">
        <f>ROUNDUP(((C24-F27) + ((C24-F27)*D24*24))/24, 0)</f>
        <v>3369</v>
      </c>
      <c r="L27" s="8">
        <f>ROUNDUP(((C24-F27) + ((C24-F27)*D24*30))/30, 0)</f>
        <v>2865</v>
      </c>
      <c r="M27" s="8">
        <f>ROUNDUP(((C24-F27) + ((C24-F27)*D24*36))/36, 0)</f>
        <v>2529</v>
      </c>
      <c r="N27" s="8">
        <f>ROUNDUP(((C24-F27) + ((C24-F27)*D24*48))/48, 0)</f>
        <v>2109</v>
      </c>
    </row>
    <row r="28" spans="1:14" x14ac:dyDescent="0.2">
      <c r="A28" s="164" t="s">
        <v>25</v>
      </c>
      <c r="B28" s="164" t="s">
        <v>27</v>
      </c>
      <c r="C28" s="161">
        <v>66600</v>
      </c>
      <c r="D28" s="165">
        <v>1.4E-2</v>
      </c>
      <c r="E28" s="4">
        <v>0</v>
      </c>
      <c r="F28" s="2">
        <v>2900</v>
      </c>
      <c r="G28" s="161">
        <v>1000</v>
      </c>
      <c r="H28" s="5">
        <f>F28+G28</f>
        <v>3900</v>
      </c>
      <c r="I28" s="5">
        <f>ROUNDUP(((C28-F28) + ((C28-F28)*D28*12))/12, 0)</f>
        <v>6201</v>
      </c>
      <c r="J28" s="5">
        <f>ROUNDUP(((C28-F28) + ((C28-F28)*D28*18))/18, 0)</f>
        <v>4431</v>
      </c>
      <c r="K28" s="5">
        <f>ROUNDUP(((C28-F28) + ((C28-F28)*D28*24))/24, 0)</f>
        <v>3546</v>
      </c>
      <c r="L28" s="5">
        <f>ROUNDUP(((C28-F28) + ((C28-F28)*D28*30))/30, 0)</f>
        <v>3016</v>
      </c>
      <c r="M28" s="5">
        <f>ROUNDUP(((C28-F28) + ((C28-F28)*D28*36))/36, 0)</f>
        <v>2662</v>
      </c>
      <c r="N28" s="6">
        <f>ROUNDUP(((C28-F28) + ((C28-F28)*D28*48))/48, 0)</f>
        <v>2219</v>
      </c>
    </row>
    <row r="29" spans="1:14" x14ac:dyDescent="0.2">
      <c r="A29" s="162"/>
      <c r="B29" s="162"/>
      <c r="C29" s="162"/>
      <c r="D29" s="162"/>
      <c r="E29" s="7">
        <v>0.05</v>
      </c>
      <c r="F29" s="8">
        <f>ROUND(C28*E29, 0)</f>
        <v>3330</v>
      </c>
      <c r="G29" s="162"/>
      <c r="H29" s="8">
        <f>F29+G28</f>
        <v>4330</v>
      </c>
      <c r="I29" s="8">
        <f>ROUNDUP(((C28-F29) + ((C28-F29)*D28*12))/12, 0)</f>
        <v>6159</v>
      </c>
      <c r="J29" s="8">
        <f>ROUNDUP(((C28-F29) + ((C28-F29)*D28*18))/18, 0)</f>
        <v>4401</v>
      </c>
      <c r="K29" s="8">
        <f>ROUNDUP(((C28-F29) + ((C28-F29)*D28*24))/24, 0)</f>
        <v>3523</v>
      </c>
      <c r="L29" s="8">
        <f>ROUNDUP(((C28-F29) + ((C28-F29)*D28*30))/30, 0)</f>
        <v>2995</v>
      </c>
      <c r="M29" s="8">
        <f>ROUNDUP(((C28-F29) + ((C28-F29)*D28*36))/36, 0)</f>
        <v>2644</v>
      </c>
      <c r="N29" s="8">
        <f>ROUNDUP(((C28-F29) + ((C28-F29)*D28*48))/48, 0)</f>
        <v>2204</v>
      </c>
    </row>
    <row r="30" spans="1:14" x14ac:dyDescent="0.2">
      <c r="A30" s="162"/>
      <c r="B30" s="162"/>
      <c r="C30" s="162"/>
      <c r="D30" s="162"/>
      <c r="E30" s="7">
        <v>0.1</v>
      </c>
      <c r="F30" s="8">
        <f>ROUND(C28*E30, 0)</f>
        <v>6660</v>
      </c>
      <c r="G30" s="162"/>
      <c r="H30" s="8">
        <f>F30+G28</f>
        <v>7660</v>
      </c>
      <c r="I30" s="8">
        <f>ROUNDUP(((C28-F30) + ((C28-F30)*D28*12))/12, 0)</f>
        <v>5835</v>
      </c>
      <c r="J30" s="8">
        <f>ROUNDUP(((C28-F30) + ((C28-F30)*D28*18))/18, 0)</f>
        <v>4170</v>
      </c>
      <c r="K30" s="8">
        <f>ROUNDUP(((C28-F30) + ((C28-F30)*D28*24))/24, 0)</f>
        <v>3337</v>
      </c>
      <c r="L30" s="8">
        <f>ROUNDUP(((C28-F30) + ((C28-F30)*D28*30))/30, 0)</f>
        <v>2838</v>
      </c>
      <c r="M30" s="8">
        <f>ROUNDUP(((C28-F30) + ((C28-F30)*D28*36))/36, 0)</f>
        <v>2505</v>
      </c>
      <c r="N30" s="8">
        <f>ROUNDUP(((C28-F30) + ((C28-F30)*D28*48))/48, 0)</f>
        <v>2088</v>
      </c>
    </row>
    <row r="31" spans="1:14" x14ac:dyDescent="0.2">
      <c r="A31" s="163"/>
      <c r="B31" s="163"/>
      <c r="C31" s="163"/>
      <c r="D31" s="163"/>
      <c r="E31" s="7">
        <v>0.15</v>
      </c>
      <c r="F31" s="8">
        <f>ROUND(C28*E31, 0)</f>
        <v>9990</v>
      </c>
      <c r="G31" s="163"/>
      <c r="H31" s="8">
        <f>F31+G28</f>
        <v>10990</v>
      </c>
      <c r="I31" s="8">
        <f>ROUNDUP(((C28-F31) + ((C28-F31)*D28*12))/12, 0)</f>
        <v>5511</v>
      </c>
      <c r="J31" s="8">
        <f>ROUNDUP(((C28-F31) + ((C28-F31)*D28*18))/18, 0)</f>
        <v>3938</v>
      </c>
      <c r="K31" s="8">
        <f>ROUNDUP(((C28-F31) + ((C28-F31)*D28*24))/24, 0)</f>
        <v>3152</v>
      </c>
      <c r="L31" s="8">
        <f>ROUNDUP(((C28-F31) + ((C28-F31)*D28*30))/30, 0)</f>
        <v>2680</v>
      </c>
      <c r="M31" s="8">
        <f>ROUNDUP(((C28-F31) + ((C28-F31)*D28*36))/36, 0)</f>
        <v>2366</v>
      </c>
      <c r="N31" s="8">
        <f>ROUNDUP(((C28-F31) + ((C28-F31)*D28*48))/48, 0)</f>
        <v>1972</v>
      </c>
    </row>
    <row r="32" spans="1:14" x14ac:dyDescent="0.2">
      <c r="A32" s="164" t="s">
        <v>28</v>
      </c>
      <c r="B32" s="164" t="s">
        <v>29</v>
      </c>
      <c r="C32" s="161">
        <v>66600</v>
      </c>
      <c r="D32" s="165">
        <v>1.4999999999999999E-2</v>
      </c>
      <c r="E32" s="4">
        <v>0</v>
      </c>
      <c r="F32" s="2">
        <v>4900</v>
      </c>
      <c r="G32" s="161">
        <v>1000</v>
      </c>
      <c r="H32" s="5">
        <f>F32+G32</f>
        <v>5900</v>
      </c>
      <c r="I32" s="5">
        <f>ROUNDUP(((C32-F32) + ((C32-F32)*D32*12))/12, 0)</f>
        <v>6068</v>
      </c>
      <c r="J32" s="5">
        <f>ROUNDUP(((C32-F32) + ((C32-F32)*D32*18))/18, 0)</f>
        <v>4354</v>
      </c>
      <c r="K32" s="5">
        <f>ROUNDUP(((C32-F32) + ((C32-F32)*D32*24))/24, 0)</f>
        <v>3497</v>
      </c>
      <c r="L32" s="5">
        <f>ROUNDUP(((C32-F32) + ((C32-F32)*D32*30))/30, 0)</f>
        <v>2983</v>
      </c>
      <c r="M32" s="5">
        <f>ROUNDUP(((C32-F32) + ((C32-F32)*D32*36))/36, 0)</f>
        <v>2640</v>
      </c>
      <c r="N32" s="6">
        <f>ROUNDUP(((C32-F32) + ((C32-F32)*D32*48))/48, 0)</f>
        <v>2211</v>
      </c>
    </row>
    <row r="33" spans="1:14" x14ac:dyDescent="0.2">
      <c r="A33" s="162"/>
      <c r="B33" s="162"/>
      <c r="C33" s="162"/>
      <c r="D33" s="162"/>
      <c r="E33" s="7">
        <v>0.05</v>
      </c>
      <c r="F33" s="8">
        <f>ROUND(C32*E33, 0)</f>
        <v>3330</v>
      </c>
      <c r="G33" s="162"/>
      <c r="H33" s="8">
        <f>F33+G32</f>
        <v>4330</v>
      </c>
      <c r="I33" s="8">
        <f>ROUNDUP(((C32-F33) + ((C32-F33)*D32*12))/12, 0)</f>
        <v>6222</v>
      </c>
      <c r="J33" s="8">
        <f>ROUNDUP(((C32-F33) + ((C32-F33)*D32*18))/18, 0)</f>
        <v>4465</v>
      </c>
      <c r="K33" s="8">
        <f>ROUNDUP(((C32-F33) + ((C32-F33)*D32*24))/24, 0)</f>
        <v>3586</v>
      </c>
      <c r="L33" s="8">
        <f>ROUNDUP(((C32-F33) + ((C32-F33)*D32*30))/30, 0)</f>
        <v>3059</v>
      </c>
      <c r="M33" s="8">
        <f>ROUNDUP(((C32-F33) + ((C32-F33)*D32*36))/36, 0)</f>
        <v>2707</v>
      </c>
      <c r="N33" s="8">
        <f>ROUNDUP(((C32-F33) + ((C32-F33)*D32*48))/48, 0)</f>
        <v>2268</v>
      </c>
    </row>
    <row r="34" spans="1:14" x14ac:dyDescent="0.2">
      <c r="A34" s="162"/>
      <c r="B34" s="162"/>
      <c r="C34" s="162"/>
      <c r="D34" s="162"/>
      <c r="E34" s="7">
        <v>0.1</v>
      </c>
      <c r="F34" s="8">
        <f>ROUND(C32*E34, 0)</f>
        <v>6660</v>
      </c>
      <c r="G34" s="162"/>
      <c r="H34" s="8">
        <f>F34+G32</f>
        <v>7660</v>
      </c>
      <c r="I34" s="8">
        <f>ROUNDUP(((C32-F34) + ((C32-F34)*D32*12))/12, 0)</f>
        <v>5895</v>
      </c>
      <c r="J34" s="8">
        <f>ROUNDUP(((C32-F34) + ((C32-F34)*D32*18))/18, 0)</f>
        <v>4230</v>
      </c>
      <c r="K34" s="8">
        <f>ROUNDUP(((C32-F34) + ((C32-F34)*D32*24))/24, 0)</f>
        <v>3397</v>
      </c>
      <c r="L34" s="8">
        <f>ROUNDUP(((C32-F34) + ((C32-F34)*D32*30))/30, 0)</f>
        <v>2898</v>
      </c>
      <c r="M34" s="8">
        <f>ROUNDUP(((C32-F34) + ((C32-F34)*D32*36))/36, 0)</f>
        <v>2565</v>
      </c>
      <c r="N34" s="8">
        <f>ROUNDUP(((C32-F34) + ((C32-F34)*D32*48))/48, 0)</f>
        <v>2148</v>
      </c>
    </row>
    <row r="35" spans="1:14" x14ac:dyDescent="0.2">
      <c r="A35" s="163"/>
      <c r="B35" s="163"/>
      <c r="C35" s="163"/>
      <c r="D35" s="163"/>
      <c r="E35" s="7">
        <v>0.15</v>
      </c>
      <c r="F35" s="8">
        <f>ROUND(C32*E35, 0)</f>
        <v>9990</v>
      </c>
      <c r="G35" s="163"/>
      <c r="H35" s="8">
        <f>F35+G32</f>
        <v>10990</v>
      </c>
      <c r="I35" s="8">
        <f>ROUNDUP(((C32-F35) + ((C32-F35)*D32*12))/12, 0)</f>
        <v>5567</v>
      </c>
      <c r="J35" s="8">
        <f>ROUNDUP(((C32-F35) + ((C32-F35)*D32*18))/18, 0)</f>
        <v>3995</v>
      </c>
      <c r="K35" s="8">
        <f>ROUNDUP(((C32-F35) + ((C32-F35)*D32*24))/24, 0)</f>
        <v>3208</v>
      </c>
      <c r="L35" s="8">
        <f>ROUNDUP(((C32-F35) + ((C32-F35)*D32*30))/30, 0)</f>
        <v>2737</v>
      </c>
      <c r="M35" s="8">
        <f>ROUNDUP(((C32-F35) + ((C32-F35)*D32*36))/36, 0)</f>
        <v>2422</v>
      </c>
      <c r="N35" s="8">
        <f>ROUNDUP(((C32-F35) + ((C32-F35)*D32*48))/48, 0)</f>
        <v>2029</v>
      </c>
    </row>
    <row r="36" spans="1:14" x14ac:dyDescent="0.2">
      <c r="A36" s="164" t="s">
        <v>30</v>
      </c>
      <c r="B36" s="164" t="s">
        <v>31</v>
      </c>
      <c r="C36" s="161">
        <v>71200</v>
      </c>
      <c r="D36" s="165">
        <v>1.4999999999999999E-2</v>
      </c>
      <c r="E36" s="4">
        <v>0</v>
      </c>
      <c r="F36" s="2">
        <v>5900</v>
      </c>
      <c r="G36" s="161">
        <v>1000</v>
      </c>
      <c r="H36" s="5">
        <f>F36+G36</f>
        <v>6900</v>
      </c>
      <c r="I36" s="5">
        <f>ROUNDUP(((C36-F36) + ((C36-F36)*D36*12))/12, 0)</f>
        <v>6422</v>
      </c>
      <c r="J36" s="5">
        <f>ROUNDUP(((C36-F36) + ((C36-F36)*D36*18))/18, 0)</f>
        <v>4608</v>
      </c>
      <c r="K36" s="5">
        <f>ROUNDUP(((C36-F36) + ((C36-F36)*D36*24))/24, 0)</f>
        <v>3701</v>
      </c>
      <c r="L36" s="5">
        <f>ROUNDUP(((C36-F36) + ((C36-F36)*D36*30))/30, 0)</f>
        <v>3157</v>
      </c>
      <c r="M36" s="5">
        <f>ROUNDUP(((C36-F36) + ((C36-F36)*D36*36))/36, 0)</f>
        <v>2794</v>
      </c>
      <c r="N36" s="6">
        <f>ROUNDUP(((C36-F36) + ((C36-F36)*D36*48))/48, 0)</f>
        <v>2340</v>
      </c>
    </row>
    <row r="37" spans="1:14" x14ac:dyDescent="0.2">
      <c r="A37" s="162"/>
      <c r="B37" s="162"/>
      <c r="C37" s="162"/>
      <c r="D37" s="162"/>
      <c r="E37" s="7">
        <v>0.05</v>
      </c>
      <c r="F37" s="8">
        <f>ROUND(C36*E37, 0)</f>
        <v>3560</v>
      </c>
      <c r="G37" s="162"/>
      <c r="H37" s="8">
        <f>F37+G36</f>
        <v>4560</v>
      </c>
      <c r="I37" s="8">
        <f>ROUNDUP(((C36-F37) + ((C36-F37)*D36*12))/12, 0)</f>
        <v>6652</v>
      </c>
      <c r="J37" s="8">
        <f>ROUNDUP(((C36-F37) + ((C36-F37)*D36*18))/18, 0)</f>
        <v>4773</v>
      </c>
      <c r="K37" s="8">
        <f>ROUNDUP(((C36-F37) + ((C36-F37)*D36*24))/24, 0)</f>
        <v>3833</v>
      </c>
      <c r="L37" s="8">
        <f>ROUNDUP(((C36-F37) + ((C36-F37)*D36*30))/30, 0)</f>
        <v>3270</v>
      </c>
      <c r="M37" s="8">
        <f>ROUNDUP(((C36-F37) + ((C36-F37)*D36*36))/36, 0)</f>
        <v>2894</v>
      </c>
      <c r="N37" s="8">
        <f>ROUNDUP(((C36-F37) + ((C36-F37)*D36*48))/48, 0)</f>
        <v>2424</v>
      </c>
    </row>
    <row r="38" spans="1:14" x14ac:dyDescent="0.2">
      <c r="A38" s="162"/>
      <c r="B38" s="162"/>
      <c r="C38" s="162"/>
      <c r="D38" s="162"/>
      <c r="E38" s="7">
        <v>0.1</v>
      </c>
      <c r="F38" s="8">
        <f>ROUND(C36*E38, 0)</f>
        <v>7120</v>
      </c>
      <c r="G38" s="162"/>
      <c r="H38" s="8">
        <f>F38+G36</f>
        <v>8120</v>
      </c>
      <c r="I38" s="8">
        <f>ROUNDUP(((C36-F38) + ((C36-F38)*D36*12))/12, 0)</f>
        <v>6302</v>
      </c>
      <c r="J38" s="8">
        <f>ROUNDUP(((C36-F38) + ((C36-F38)*D36*18))/18, 0)</f>
        <v>4522</v>
      </c>
      <c r="K38" s="8">
        <f>ROUNDUP(((C36-F38) + ((C36-F38)*D36*24))/24, 0)</f>
        <v>3632</v>
      </c>
      <c r="L38" s="8">
        <f>ROUNDUP(((C36-F38) + ((C36-F38)*D36*30))/30, 0)</f>
        <v>3098</v>
      </c>
      <c r="M38" s="8">
        <f>ROUNDUP(((C36-F38) + ((C36-F38)*D36*36))/36, 0)</f>
        <v>2742</v>
      </c>
      <c r="N38" s="8">
        <f>ROUNDUP(((C36-F38) + ((C36-F38)*D36*48))/48, 0)</f>
        <v>2297</v>
      </c>
    </row>
    <row r="39" spans="1:14" x14ac:dyDescent="0.2">
      <c r="A39" s="163"/>
      <c r="B39" s="163"/>
      <c r="C39" s="163"/>
      <c r="D39" s="163"/>
      <c r="E39" s="7">
        <v>0.15</v>
      </c>
      <c r="F39" s="8">
        <f>ROUND(C36*E39, 0)</f>
        <v>10680</v>
      </c>
      <c r="G39" s="163"/>
      <c r="H39" s="8">
        <f>F39+G36</f>
        <v>11680</v>
      </c>
      <c r="I39" s="8">
        <f>ROUNDUP(((C36-F39) + ((C36-F39)*D36*12))/12, 0)</f>
        <v>5952</v>
      </c>
      <c r="J39" s="8">
        <f>ROUNDUP(((C36-F39) + ((C36-F39)*D36*18))/18, 0)</f>
        <v>4271</v>
      </c>
      <c r="K39" s="8">
        <f>ROUNDUP(((C36-F39) + ((C36-F39)*D36*24))/24, 0)</f>
        <v>3430</v>
      </c>
      <c r="L39" s="8">
        <f>ROUNDUP(((C36-F39) + ((C36-F39)*D36*30))/30, 0)</f>
        <v>2926</v>
      </c>
      <c r="M39" s="8">
        <f>ROUNDUP(((C36-F39) + ((C36-F39)*D36*36))/36, 0)</f>
        <v>2589</v>
      </c>
      <c r="N39" s="8">
        <f>ROUNDUP(((C36-F39) + ((C36-F39)*D36*48))/48, 0)</f>
        <v>2169</v>
      </c>
    </row>
    <row r="40" spans="1:14" x14ac:dyDescent="0.2">
      <c r="A40" s="164" t="s">
        <v>32</v>
      </c>
      <c r="B40" s="164" t="s">
        <v>33</v>
      </c>
      <c r="C40" s="161">
        <v>76200</v>
      </c>
      <c r="D40" s="165">
        <v>1.4999999999999999E-2</v>
      </c>
      <c r="E40" s="4">
        <v>0</v>
      </c>
      <c r="F40" s="2">
        <v>6900</v>
      </c>
      <c r="G40" s="161">
        <v>1000</v>
      </c>
      <c r="H40" s="5">
        <f>F40+G40</f>
        <v>7900</v>
      </c>
      <c r="I40" s="5">
        <f>ROUNDUP(((C40-F40) + ((C40-F40)*D40*12))/12, 0)</f>
        <v>6815</v>
      </c>
      <c r="J40" s="5">
        <f>ROUNDUP(((C40-F40) + ((C40-F40)*D40*18))/18, 0)</f>
        <v>4890</v>
      </c>
      <c r="K40" s="5">
        <f>ROUNDUP(((C40-F40) + ((C40-F40)*D40*24))/24, 0)</f>
        <v>3927</v>
      </c>
      <c r="L40" s="5">
        <f>ROUNDUP(((C40-F40) + ((C40-F40)*D40*30))/30, 0)</f>
        <v>3350</v>
      </c>
      <c r="M40" s="5">
        <f>ROUNDUP(((C40-F40) + ((C40-F40)*D40*36))/36, 0)</f>
        <v>2965</v>
      </c>
      <c r="N40" s="6">
        <f>ROUNDUP(((C40-F40) + ((C40-F40)*D40*48))/48, 0)</f>
        <v>2484</v>
      </c>
    </row>
    <row r="41" spans="1:14" x14ac:dyDescent="0.2">
      <c r="A41" s="162"/>
      <c r="B41" s="162"/>
      <c r="C41" s="162"/>
      <c r="D41" s="162"/>
      <c r="E41" s="7">
        <v>0.05</v>
      </c>
      <c r="F41" s="8">
        <f>ROUND(C40*E41, 0)</f>
        <v>3810</v>
      </c>
      <c r="G41" s="162"/>
      <c r="H41" s="8">
        <f>F41+G40</f>
        <v>4810</v>
      </c>
      <c r="I41" s="8">
        <f>ROUNDUP(((C40-F41) + ((C40-F41)*D40*12))/12, 0)</f>
        <v>7119</v>
      </c>
      <c r="J41" s="8">
        <f>ROUNDUP(((C40-F41) + ((C40-F41)*D40*18))/18, 0)</f>
        <v>5108</v>
      </c>
      <c r="K41" s="8">
        <f>ROUNDUP(((C40-F41) + ((C40-F41)*D40*24))/24, 0)</f>
        <v>4103</v>
      </c>
      <c r="L41" s="8">
        <f>ROUNDUP(((C40-F41) + ((C40-F41)*D40*30))/30, 0)</f>
        <v>3499</v>
      </c>
      <c r="M41" s="8">
        <f>ROUNDUP(((C40-F41) + ((C40-F41)*D40*36))/36, 0)</f>
        <v>3097</v>
      </c>
      <c r="N41" s="8">
        <f>ROUNDUP(((C40-F41) + ((C40-F41)*D40*48))/48, 0)</f>
        <v>2594</v>
      </c>
    </row>
    <row r="42" spans="1:14" x14ac:dyDescent="0.2">
      <c r="A42" s="162"/>
      <c r="B42" s="162"/>
      <c r="C42" s="162"/>
      <c r="D42" s="162"/>
      <c r="E42" s="7">
        <v>0.1</v>
      </c>
      <c r="F42" s="8">
        <f>ROUND(C40*E42, 0)</f>
        <v>7620</v>
      </c>
      <c r="G42" s="162"/>
      <c r="H42" s="8">
        <f>F42+G40</f>
        <v>8620</v>
      </c>
      <c r="I42" s="8">
        <f>ROUNDUP(((C40-F42) + ((C40-F42)*D40*12))/12, 0)</f>
        <v>6744</v>
      </c>
      <c r="J42" s="8">
        <f>ROUNDUP(((C40-F42) + ((C40-F42)*D40*18))/18, 0)</f>
        <v>4839</v>
      </c>
      <c r="K42" s="8">
        <f>ROUNDUP(((C40-F42) + ((C40-F42)*D40*24))/24, 0)</f>
        <v>3887</v>
      </c>
      <c r="L42" s="8">
        <f>ROUNDUP(((C40-F42) + ((C40-F42)*D40*30))/30, 0)</f>
        <v>3315</v>
      </c>
      <c r="M42" s="8">
        <f>ROUNDUP(((C40-F42) + ((C40-F42)*D40*36))/36, 0)</f>
        <v>2934</v>
      </c>
      <c r="N42" s="8">
        <f>ROUNDUP(((C40-F42) + ((C40-F42)*D40*48))/48, 0)</f>
        <v>2458</v>
      </c>
    </row>
    <row r="43" spans="1:14" x14ac:dyDescent="0.2">
      <c r="A43" s="163"/>
      <c r="B43" s="163"/>
      <c r="C43" s="163"/>
      <c r="D43" s="163"/>
      <c r="E43" s="7">
        <v>0.15</v>
      </c>
      <c r="F43" s="8">
        <v>25000</v>
      </c>
      <c r="G43" s="163"/>
      <c r="H43" s="8">
        <f>F43+G40</f>
        <v>26000</v>
      </c>
      <c r="I43" s="8">
        <f>ROUNDUP(((C40-F43) + ((C40-F43)*D40*12))/12, 0)</f>
        <v>5035</v>
      </c>
      <c r="J43" s="8">
        <f>ROUNDUP(((C40-F43) + ((C40-F43)*D40*18))/18, 0)</f>
        <v>3613</v>
      </c>
      <c r="K43" s="8">
        <f>ROUNDUP(((C40-F43) + ((C40-F43)*D40*24))/24, 0)</f>
        <v>2902</v>
      </c>
      <c r="L43" s="8">
        <f>ROUNDUP(((C40-F43) + ((C40-F43)*D40*30))/30, 0)</f>
        <v>2475</v>
      </c>
      <c r="M43" s="8">
        <f>ROUNDUP(((C40-F43) + ((C40-F43)*D40*36))/36, 0)</f>
        <v>2191</v>
      </c>
      <c r="N43" s="8">
        <f>ROUNDUP(((C40-F43) + ((C40-F43)*D40*48))/48, 0)</f>
        <v>1835</v>
      </c>
    </row>
    <row r="44" spans="1:14" x14ac:dyDescent="0.2">
      <c r="A44" s="164" t="s">
        <v>34</v>
      </c>
      <c r="B44" s="164" t="s">
        <v>35</v>
      </c>
      <c r="C44" s="161">
        <v>100200</v>
      </c>
      <c r="D44" s="165">
        <v>1.29E-2</v>
      </c>
      <c r="E44" s="4">
        <v>0</v>
      </c>
      <c r="F44" s="2">
        <v>7900</v>
      </c>
      <c r="G44" s="161">
        <v>1000</v>
      </c>
      <c r="H44" s="5">
        <f>F44+G44</f>
        <v>8900</v>
      </c>
      <c r="I44" s="5">
        <f>ROUNDUP(((C44-F44) + ((C44-F44)*D44*12))/12, 0)</f>
        <v>8883</v>
      </c>
      <c r="J44" s="5">
        <f>ROUNDUP(((C44-F44) + ((C44-F44)*D44*18))/18, 0)</f>
        <v>6319</v>
      </c>
      <c r="K44" s="5">
        <f>ROUNDUP(((C44-F44) + ((C44-F44)*D44*24))/24, 0)</f>
        <v>5037</v>
      </c>
      <c r="L44" s="5">
        <f>ROUNDUP(((C44-F44) + ((C44-F44)*D44*30))/30, 0)</f>
        <v>4268</v>
      </c>
      <c r="M44" s="5">
        <f>ROUNDUP(((C44-F44) + ((C44-F44)*D44*36))/36, 0)</f>
        <v>3755</v>
      </c>
      <c r="N44" s="6">
        <f>ROUNDUP(((C44-F44) + ((C44-F44)*D44*48))/48, 0)</f>
        <v>3114</v>
      </c>
    </row>
    <row r="45" spans="1:14" x14ac:dyDescent="0.2">
      <c r="A45" s="162"/>
      <c r="B45" s="162"/>
      <c r="C45" s="162"/>
      <c r="D45" s="162"/>
      <c r="E45" s="7">
        <v>0.05</v>
      </c>
      <c r="F45" s="8">
        <f>ROUND(C44*E45, 0)</f>
        <v>5010</v>
      </c>
      <c r="G45" s="162"/>
      <c r="H45" s="8">
        <f>F45+G44</f>
        <v>6010</v>
      </c>
      <c r="I45" s="8">
        <f>ROUNDUP(((C44-F45) + ((C44-F45)*D44*12))/12, 0)</f>
        <v>9161</v>
      </c>
      <c r="J45" s="8">
        <f>ROUNDUP(((C44-F45) + ((C44-F45)*D44*18))/18, 0)</f>
        <v>6517</v>
      </c>
      <c r="K45" s="8">
        <f>ROUNDUP(((C44-F45) + ((C44-F45)*D44*24))/24, 0)</f>
        <v>5195</v>
      </c>
      <c r="L45" s="8">
        <f>ROUNDUP(((C44-F45) + ((C44-F45)*D44*30))/30, 0)</f>
        <v>4401</v>
      </c>
      <c r="M45" s="8">
        <f>ROUNDUP(((C44-F45) + ((C44-F45)*D44*36))/36, 0)</f>
        <v>3873</v>
      </c>
      <c r="N45" s="8">
        <f>ROUNDUP(((C44-F45) + ((C44-F45)*D44*48))/48, 0)</f>
        <v>3212</v>
      </c>
    </row>
    <row r="46" spans="1:14" x14ac:dyDescent="0.2">
      <c r="A46" s="162"/>
      <c r="B46" s="162"/>
      <c r="C46" s="162"/>
      <c r="D46" s="162"/>
      <c r="E46" s="7">
        <v>0.1</v>
      </c>
      <c r="F46" s="8">
        <f>ROUND(C44*E46, 0)</f>
        <v>10020</v>
      </c>
      <c r="G46" s="162"/>
      <c r="H46" s="8">
        <f>F46+G44</f>
        <v>11020</v>
      </c>
      <c r="I46" s="8">
        <f>ROUNDUP(((C44-F46) + ((C44-F46)*D44*12))/12, 0)</f>
        <v>8679</v>
      </c>
      <c r="J46" s="8">
        <f>ROUNDUP(((C44-F46) + ((C44-F46)*D44*18))/18, 0)</f>
        <v>6174</v>
      </c>
      <c r="K46" s="8">
        <f>ROUNDUP(((C44-F46) + ((C44-F46)*D44*24))/24, 0)</f>
        <v>4921</v>
      </c>
      <c r="L46" s="8">
        <f>ROUNDUP(((C44-F46) + ((C44-F46)*D44*30))/30, 0)</f>
        <v>4170</v>
      </c>
      <c r="M46" s="8">
        <f>ROUNDUP(((C44-F46) + ((C44-F46)*D44*36))/36, 0)</f>
        <v>3669</v>
      </c>
      <c r="N46" s="8">
        <f>ROUNDUP(((C44-F46) + ((C44-F46)*D44*48))/48, 0)</f>
        <v>3043</v>
      </c>
    </row>
    <row r="47" spans="1:14" x14ac:dyDescent="0.2">
      <c r="A47" s="163"/>
      <c r="B47" s="163"/>
      <c r="C47" s="163"/>
      <c r="D47" s="163"/>
      <c r="E47" s="7">
        <v>0.15</v>
      </c>
      <c r="F47" s="8">
        <f>ROUND(C44*E47, 0)</f>
        <v>15030</v>
      </c>
      <c r="G47" s="163"/>
      <c r="H47" s="8">
        <f>F47+G44</f>
        <v>16030</v>
      </c>
      <c r="I47" s="8">
        <f>ROUNDUP(((C44-F47) + ((C44-F47)*D44*12))/12, 0)</f>
        <v>8197</v>
      </c>
      <c r="J47" s="8">
        <f>ROUNDUP(((C44-F47) + ((C44-F47)*D44*18))/18, 0)</f>
        <v>5831</v>
      </c>
      <c r="K47" s="8">
        <f>ROUNDUP(((C44-F47) + ((C44-F47)*D44*24))/24, 0)</f>
        <v>4648</v>
      </c>
      <c r="L47" s="8">
        <f>ROUNDUP(((C44-F47) + ((C44-F47)*D44*30))/30, 0)</f>
        <v>3938</v>
      </c>
      <c r="M47" s="8">
        <f>ROUNDUP(((C44-F47) + ((C44-F47)*D44*36))/36, 0)</f>
        <v>3465</v>
      </c>
      <c r="N47" s="8">
        <f>ROUNDUP(((C44-F47) + ((C44-F47)*D44*48))/48, 0)</f>
        <v>2874</v>
      </c>
    </row>
    <row r="48" spans="1:14" x14ac:dyDescent="0.2">
      <c r="A48" s="164" t="s">
        <v>36</v>
      </c>
      <c r="B48" s="164" t="s">
        <v>37</v>
      </c>
      <c r="C48" s="161">
        <v>130200</v>
      </c>
      <c r="D48" s="165">
        <v>1.29E-2</v>
      </c>
      <c r="E48" s="4">
        <v>0</v>
      </c>
      <c r="F48" s="2">
        <v>15000</v>
      </c>
      <c r="G48" s="161">
        <v>1000</v>
      </c>
      <c r="H48" s="5">
        <f>F48+G48</f>
        <v>16000</v>
      </c>
      <c r="I48" s="5">
        <f>ROUNDUP(((C48-F48) + ((C48-F48)*D48*12))/12, 0)</f>
        <v>11087</v>
      </c>
      <c r="J48" s="5">
        <f>ROUNDUP(((C48-F48) + ((C48-F48)*D48*18))/18, 0)</f>
        <v>7887</v>
      </c>
      <c r="K48" s="5">
        <f>ROUNDUP(((C48-F48) + ((C48-F48)*D48*24))/24, 0)</f>
        <v>6287</v>
      </c>
      <c r="L48" s="5">
        <f>ROUNDUP(((C48-F48) + ((C48-F48)*D48*30))/30, 0)</f>
        <v>5327</v>
      </c>
      <c r="M48" s="5">
        <f>ROUNDUP(((C48-F48) + ((C48-F48)*D48*36))/36, 0)</f>
        <v>4687</v>
      </c>
      <c r="N48" s="6">
        <f>ROUNDUP(((C48-F48) + ((C48-F48)*D48*48))/48, 0)</f>
        <v>3887</v>
      </c>
    </row>
    <row r="49" spans="1:14" x14ac:dyDescent="0.2">
      <c r="A49" s="162"/>
      <c r="B49" s="162"/>
      <c r="C49" s="162"/>
      <c r="D49" s="162"/>
      <c r="E49" s="7">
        <v>0.05</v>
      </c>
      <c r="F49" s="8">
        <f>ROUND(C48*E49, 0)</f>
        <v>6510</v>
      </c>
      <c r="G49" s="162"/>
      <c r="H49" s="8">
        <f>F49+G48</f>
        <v>7510</v>
      </c>
      <c r="I49" s="8">
        <f>ROUNDUP(((C48-F49) + ((C48-F49)*D48*12))/12, 0)</f>
        <v>11904</v>
      </c>
      <c r="J49" s="8">
        <f>ROUNDUP(((C48-F49) + ((C48-F49)*D48*18))/18, 0)</f>
        <v>8468</v>
      </c>
      <c r="K49" s="8">
        <f>ROUNDUP(((C48-F49) + ((C48-F49)*D48*24))/24, 0)</f>
        <v>6750</v>
      </c>
      <c r="L49" s="8">
        <f>ROUNDUP(((C48-F49) + ((C48-F49)*D48*30))/30, 0)</f>
        <v>5719</v>
      </c>
      <c r="M49" s="8">
        <f>ROUNDUP(((C48-F49) + ((C48-F49)*D48*36))/36, 0)</f>
        <v>5032</v>
      </c>
      <c r="N49" s="8">
        <f>ROUNDUP(((C48-F49) + ((C48-F49)*D48*48))/48, 0)</f>
        <v>4173</v>
      </c>
    </row>
    <row r="50" spans="1:14" x14ac:dyDescent="0.2">
      <c r="A50" s="162"/>
      <c r="B50" s="162"/>
      <c r="C50" s="162"/>
      <c r="D50" s="162"/>
      <c r="E50" s="7">
        <v>0.1</v>
      </c>
      <c r="F50" s="8">
        <f>ROUND(C48*E50, 0)</f>
        <v>13020</v>
      </c>
      <c r="G50" s="162"/>
      <c r="H50" s="8">
        <f>F50+G48</f>
        <v>14020</v>
      </c>
      <c r="I50" s="8">
        <f>ROUNDUP(((C48-F50) + ((C48-F50)*D48*12))/12, 0)</f>
        <v>11277</v>
      </c>
      <c r="J50" s="8">
        <f>ROUNDUP(((C48-F50) + ((C48-F50)*D48*18))/18, 0)</f>
        <v>8022</v>
      </c>
      <c r="K50" s="8">
        <f>ROUNDUP(((C48-F50) + ((C48-F50)*D48*24))/24, 0)</f>
        <v>6395</v>
      </c>
      <c r="L50" s="8">
        <f>ROUNDUP(((C48-F50) + ((C48-F50)*D48*30))/30, 0)</f>
        <v>5418</v>
      </c>
      <c r="M50" s="8">
        <f>ROUNDUP(((C48-F50) + ((C48-F50)*D48*36))/36, 0)</f>
        <v>4767</v>
      </c>
      <c r="N50" s="8">
        <f>ROUNDUP(((C48-F50) + ((C48-F50)*D48*48))/48, 0)</f>
        <v>3953</v>
      </c>
    </row>
    <row r="51" spans="1:14" x14ac:dyDescent="0.2">
      <c r="A51" s="163"/>
      <c r="B51" s="163"/>
      <c r="C51" s="163"/>
      <c r="D51" s="163"/>
      <c r="E51" s="7">
        <v>0.15</v>
      </c>
      <c r="F51" s="8">
        <f>ROUND(C48*E51, 0)</f>
        <v>19530</v>
      </c>
      <c r="G51" s="163"/>
      <c r="H51" s="8">
        <f>F51+G48</f>
        <v>20530</v>
      </c>
      <c r="I51" s="8">
        <f>ROUNDUP(((C48-F51) + ((C48-F51)*D48*12))/12, 0)</f>
        <v>10651</v>
      </c>
      <c r="J51" s="8">
        <f>ROUNDUP(((C48-F51) + ((C48-F51)*D48*18))/18, 0)</f>
        <v>7576</v>
      </c>
      <c r="K51" s="8">
        <f>ROUNDUP(((C48-F51) + ((C48-F51)*D48*24))/24, 0)</f>
        <v>6039</v>
      </c>
      <c r="L51" s="8">
        <f>ROUNDUP(((C48-F51) + ((C48-F51)*D48*30))/30, 0)</f>
        <v>5117</v>
      </c>
      <c r="M51" s="8">
        <f>ROUNDUP(((C48-F51) + ((C48-F51)*D48*36))/36, 0)</f>
        <v>4502</v>
      </c>
      <c r="N51" s="8">
        <f>ROUNDUP(((C48-F51) + ((C48-F51)*D48*48))/48, 0)</f>
        <v>3734</v>
      </c>
    </row>
    <row r="52" spans="1:14" x14ac:dyDescent="0.2">
      <c r="A52" s="164" t="s">
        <v>38</v>
      </c>
      <c r="B52" s="164" t="s">
        <v>39</v>
      </c>
      <c r="C52" s="161">
        <v>99700</v>
      </c>
      <c r="D52" s="165">
        <v>1.29E-2</v>
      </c>
      <c r="E52" s="4">
        <v>0</v>
      </c>
      <c r="F52" s="2">
        <v>10000</v>
      </c>
      <c r="G52" s="161">
        <v>1000</v>
      </c>
      <c r="H52" s="5">
        <f>F52+G52</f>
        <v>11000</v>
      </c>
      <c r="I52" s="5">
        <f>ROUNDUP(((C52-F52) + ((C52-F52)*D52*12))/12, 0)</f>
        <v>8633</v>
      </c>
      <c r="J52" s="5">
        <f>ROUNDUP(((C52-F52) + ((C52-F52)*D52*18))/18, 0)</f>
        <v>6141</v>
      </c>
      <c r="K52" s="5">
        <f>ROUNDUP(((C52-F52) + ((C52-F52)*D52*24))/24, 0)</f>
        <v>4895</v>
      </c>
      <c r="L52" s="5">
        <f>ROUNDUP(((C52-F52) + ((C52-F52)*D52*30))/30, 0)</f>
        <v>4148</v>
      </c>
      <c r="M52" s="5">
        <f>ROUNDUP(((C52-F52) + ((C52-F52)*D52*36))/36, 0)</f>
        <v>3649</v>
      </c>
      <c r="N52" s="6">
        <f>ROUNDUP(((C52-F52) + ((C52-F52)*D52*48))/48, 0)</f>
        <v>3026</v>
      </c>
    </row>
    <row r="53" spans="1:14" x14ac:dyDescent="0.2">
      <c r="A53" s="162"/>
      <c r="B53" s="162"/>
      <c r="C53" s="162"/>
      <c r="D53" s="162"/>
      <c r="E53" s="7">
        <v>0.05</v>
      </c>
      <c r="F53" s="8">
        <f>ROUND(C52*E53, 0)</f>
        <v>4985</v>
      </c>
      <c r="G53" s="162"/>
      <c r="H53" s="8">
        <f>F53+G52</f>
        <v>5985</v>
      </c>
      <c r="I53" s="8">
        <f>ROUNDUP(((C52-F53) + ((C52-F53)*D52*12))/12, 0)</f>
        <v>9115</v>
      </c>
      <c r="J53" s="8">
        <f>ROUNDUP(((C52-F53) + ((C52-F53)*D52*18))/18, 0)</f>
        <v>6484</v>
      </c>
      <c r="K53" s="8">
        <f>ROUNDUP(((C52-F53) + ((C52-F53)*D52*24))/24, 0)</f>
        <v>5169</v>
      </c>
      <c r="L53" s="8">
        <f>ROUNDUP(((C52-F53) + ((C52-F53)*D52*30))/30, 0)</f>
        <v>4379</v>
      </c>
      <c r="M53" s="8">
        <f>ROUNDUP(((C52-F53) + ((C52-F53)*D52*36))/36, 0)</f>
        <v>3853</v>
      </c>
      <c r="N53" s="8">
        <f>ROUNDUP(((C52-F53) + ((C52-F53)*D52*48))/48, 0)</f>
        <v>3196</v>
      </c>
    </row>
    <row r="54" spans="1:14" x14ac:dyDescent="0.2">
      <c r="A54" s="162"/>
      <c r="B54" s="162"/>
      <c r="C54" s="162"/>
      <c r="D54" s="162"/>
      <c r="E54" s="7">
        <v>0.1</v>
      </c>
      <c r="F54" s="8">
        <f>ROUND(C52*E54, 0)</f>
        <v>9970</v>
      </c>
      <c r="G54" s="162"/>
      <c r="H54" s="8">
        <f>F54+G52</f>
        <v>10970</v>
      </c>
      <c r="I54" s="8">
        <f>ROUNDUP(((C52-F54) + ((C52-F54)*D52*12))/12, 0)</f>
        <v>8636</v>
      </c>
      <c r="J54" s="8">
        <f>ROUNDUP(((C52-F54) + ((C52-F54)*D52*18))/18, 0)</f>
        <v>6143</v>
      </c>
      <c r="K54" s="8">
        <f>ROUNDUP(((C52-F54) + ((C52-F54)*D52*24))/24, 0)</f>
        <v>4897</v>
      </c>
      <c r="L54" s="8">
        <f>ROUNDUP(((C52-F54) + ((C52-F54)*D52*30))/30, 0)</f>
        <v>4149</v>
      </c>
      <c r="M54" s="8">
        <f>ROUNDUP(((C52-F54) + ((C52-F54)*D52*36))/36, 0)</f>
        <v>3651</v>
      </c>
      <c r="N54" s="8">
        <f>ROUNDUP(((C52-F54) + ((C52-F54)*D52*48))/48, 0)</f>
        <v>3027</v>
      </c>
    </row>
    <row r="55" spans="1:14" x14ac:dyDescent="0.2">
      <c r="A55" s="163"/>
      <c r="B55" s="163"/>
      <c r="C55" s="163"/>
      <c r="D55" s="163"/>
      <c r="E55" s="7">
        <v>0.15</v>
      </c>
      <c r="F55" s="8">
        <f>ROUND(C52*E55, 0)</f>
        <v>14955</v>
      </c>
      <c r="G55" s="163"/>
      <c r="H55" s="8">
        <f>F55+G52</f>
        <v>15955</v>
      </c>
      <c r="I55" s="8">
        <f>ROUNDUP(((C52-F55) + ((C52-F55)*D52*12))/12, 0)</f>
        <v>8156</v>
      </c>
      <c r="J55" s="8">
        <f>ROUNDUP(((C52-F55) + ((C52-F55)*D52*18))/18, 0)</f>
        <v>5802</v>
      </c>
      <c r="K55" s="8">
        <f>ROUNDUP(((C52-F55) + ((C52-F55)*D52*24))/24, 0)</f>
        <v>4625</v>
      </c>
      <c r="L55" s="8">
        <f>ROUNDUP(((C52-F55) + ((C52-F55)*D52*30))/30, 0)</f>
        <v>3919</v>
      </c>
      <c r="M55" s="8">
        <f>ROUNDUP(((C52-F55) + ((C52-F55)*D52*36))/36, 0)</f>
        <v>3448</v>
      </c>
      <c r="N55" s="8">
        <f>ROUNDUP(((C52-F55) + ((C52-F55)*D52*48))/48, 0)</f>
        <v>2859</v>
      </c>
    </row>
    <row r="56" spans="1:14" x14ac:dyDescent="0.2">
      <c r="A56" s="164" t="s">
        <v>40</v>
      </c>
      <c r="B56" s="164" t="s">
        <v>41</v>
      </c>
      <c r="C56" s="161">
        <v>109200</v>
      </c>
      <c r="D56" s="165">
        <v>1.29E-2</v>
      </c>
      <c r="E56" s="4">
        <v>0</v>
      </c>
      <c r="F56" s="2">
        <v>15900</v>
      </c>
      <c r="G56" s="161">
        <v>1000</v>
      </c>
      <c r="H56" s="5">
        <f>F56+G56</f>
        <v>16900</v>
      </c>
      <c r="I56" s="5">
        <f>ROUNDUP(((C56-F56) + ((C56-F56)*D56*12))/12, 0)</f>
        <v>8979</v>
      </c>
      <c r="J56" s="5">
        <f>ROUNDUP(((C56-F56) + ((C56-F56)*D56*18))/18, 0)</f>
        <v>6387</v>
      </c>
      <c r="K56" s="5">
        <f>ROUNDUP(((C56-F56) + ((C56-F56)*D56*24))/24, 0)</f>
        <v>5092</v>
      </c>
      <c r="L56" s="5">
        <f>ROUNDUP(((C56-F56) + ((C56-F56)*D56*30))/30, 0)</f>
        <v>4314</v>
      </c>
      <c r="M56" s="5">
        <f>ROUNDUP(((C56-F56) + ((C56-F56)*D56*36))/36, 0)</f>
        <v>3796</v>
      </c>
      <c r="N56" s="6">
        <f>ROUNDUP(((C56-F56) + ((C56-F56)*D56*48))/48, 0)</f>
        <v>3148</v>
      </c>
    </row>
    <row r="57" spans="1:14" x14ac:dyDescent="0.2">
      <c r="A57" s="162"/>
      <c r="B57" s="162"/>
      <c r="C57" s="162"/>
      <c r="D57" s="162"/>
      <c r="E57" s="7">
        <v>0.05</v>
      </c>
      <c r="F57" s="8">
        <f>ROUND(C56*E57, 0)</f>
        <v>5460</v>
      </c>
      <c r="G57" s="162"/>
      <c r="H57" s="8">
        <f>F57+G56</f>
        <v>6460</v>
      </c>
      <c r="I57" s="8">
        <f>ROUNDUP(((C56-F57) + ((C56-F57)*D56*12))/12, 0)</f>
        <v>9984</v>
      </c>
      <c r="J57" s="8">
        <f>ROUNDUP(((C56-F57) + ((C56-F57)*D56*18))/18, 0)</f>
        <v>7102</v>
      </c>
      <c r="K57" s="8">
        <f>ROUNDUP(((C56-F57) + ((C56-F57)*D56*24))/24, 0)</f>
        <v>5661</v>
      </c>
      <c r="L57" s="8">
        <f>ROUNDUP(((C56-F57) + ((C56-F57)*D56*30))/30, 0)</f>
        <v>4797</v>
      </c>
      <c r="M57" s="8">
        <f>ROUNDUP(((C56-F57) + ((C56-F57)*D56*36))/36, 0)</f>
        <v>4220</v>
      </c>
      <c r="N57" s="8">
        <f>ROUNDUP(((C56-F57) + ((C56-F57)*D56*48))/48, 0)</f>
        <v>3500</v>
      </c>
    </row>
    <row r="58" spans="1:14" x14ac:dyDescent="0.2">
      <c r="A58" s="162"/>
      <c r="B58" s="162"/>
      <c r="C58" s="162"/>
      <c r="D58" s="162"/>
      <c r="E58" s="7">
        <v>0.1</v>
      </c>
      <c r="F58" s="8">
        <f>ROUND(C56*E58, 0)</f>
        <v>10920</v>
      </c>
      <c r="G58" s="162"/>
      <c r="H58" s="8">
        <f>F58+G56</f>
        <v>11920</v>
      </c>
      <c r="I58" s="8">
        <f>ROUNDUP(((C56-F58) + ((C56-F58)*D56*12))/12, 0)</f>
        <v>9458</v>
      </c>
      <c r="J58" s="8">
        <f>ROUNDUP(((C56-F58) + ((C56-F58)*D56*18))/18, 0)</f>
        <v>6728</v>
      </c>
      <c r="K58" s="8">
        <f>ROUNDUP(((C56-F58) + ((C56-F58)*D56*24))/24, 0)</f>
        <v>5363</v>
      </c>
      <c r="L58" s="8">
        <f>ROUNDUP(((C56-F58) + ((C56-F58)*D56*30))/30, 0)</f>
        <v>4544</v>
      </c>
      <c r="M58" s="8">
        <f>ROUNDUP(((C56-F58) + ((C56-F58)*D56*36))/36, 0)</f>
        <v>3998</v>
      </c>
      <c r="N58" s="8">
        <f>ROUNDUP(((C56-F58) + ((C56-F58)*D56*48))/48, 0)</f>
        <v>3316</v>
      </c>
    </row>
    <row r="59" spans="1:14" x14ac:dyDescent="0.2">
      <c r="A59" s="163"/>
      <c r="B59" s="163"/>
      <c r="C59" s="163"/>
      <c r="D59" s="163"/>
      <c r="E59" s="7">
        <v>0.15</v>
      </c>
      <c r="F59" s="8">
        <f>ROUND(C56*E59, 0)</f>
        <v>16380</v>
      </c>
      <c r="G59" s="163"/>
      <c r="H59" s="8">
        <f>F59+G56</f>
        <v>17380</v>
      </c>
      <c r="I59" s="8">
        <f>ROUNDUP(((C56-F59) + ((C56-F59)*D56*12))/12, 0)</f>
        <v>8933</v>
      </c>
      <c r="J59" s="8">
        <f>ROUNDUP(((C56-F59) + ((C56-F59)*D56*18))/18, 0)</f>
        <v>6355</v>
      </c>
      <c r="K59" s="8">
        <f>ROUNDUP(((C56-F59) + ((C56-F59)*D56*24))/24, 0)</f>
        <v>5065</v>
      </c>
      <c r="L59" s="8">
        <f>ROUNDUP(((C56-F59) + ((C56-F59)*D56*30))/30, 0)</f>
        <v>4292</v>
      </c>
      <c r="M59" s="8">
        <f>ROUNDUP(((C56-F59) + ((C56-F59)*D56*36))/36, 0)</f>
        <v>3776</v>
      </c>
      <c r="N59" s="8">
        <f>ROUNDUP(((C56-F59) + ((C56-F59)*D56*48))/48, 0)</f>
        <v>3132</v>
      </c>
    </row>
    <row r="60" spans="1:14" x14ac:dyDescent="0.2">
      <c r="A60" s="164" t="s">
        <v>42</v>
      </c>
      <c r="B60" s="164" t="s">
        <v>43</v>
      </c>
      <c r="C60" s="161">
        <v>177000</v>
      </c>
      <c r="D60" s="165">
        <v>1.0999999999999999E-2</v>
      </c>
      <c r="E60" s="4">
        <v>0</v>
      </c>
      <c r="F60" s="2">
        <v>29900</v>
      </c>
      <c r="G60" s="161">
        <v>6000</v>
      </c>
      <c r="H60" s="5">
        <f>F60+G60</f>
        <v>35900</v>
      </c>
      <c r="I60" s="5">
        <f>ROUNDUP(((C60-F60) + ((C60-F60)*D60*12))/12, 0)</f>
        <v>13877</v>
      </c>
      <c r="J60" s="5">
        <f>ROUNDUP(((C60-F60) + ((C60-F60)*D60*18))/18, 0)</f>
        <v>9791</v>
      </c>
      <c r="K60" s="5">
        <f>ROUNDUP(((C60-F60) + ((C60-F60)*D60*24))/24, 0)</f>
        <v>7748</v>
      </c>
      <c r="L60" s="5">
        <f>ROUNDUP(((C60-F60) + ((C60-F60)*D60*30))/30, 0)</f>
        <v>6522</v>
      </c>
      <c r="M60" s="5">
        <f>ROUNDUP(((C60-F60) + ((C60-F60)*D60*36))/36, 0)</f>
        <v>5705</v>
      </c>
      <c r="N60" s="6">
        <f>ROUNDUP(((C60-F60) + ((C60-F60)*D60*48))/48, 0)</f>
        <v>4683</v>
      </c>
    </row>
    <row r="61" spans="1:14" x14ac:dyDescent="0.2">
      <c r="A61" s="162"/>
      <c r="B61" s="162"/>
      <c r="C61" s="162"/>
      <c r="D61" s="162"/>
      <c r="E61" s="7">
        <v>0.05</v>
      </c>
      <c r="F61" s="8">
        <f>ROUND(C60*E61, 0)</f>
        <v>8850</v>
      </c>
      <c r="G61" s="162"/>
      <c r="H61" s="8">
        <f>F61+G60</f>
        <v>14850</v>
      </c>
      <c r="I61" s="8">
        <f>ROUNDUP(((C60-F61) + ((C60-F61)*D60*12))/12, 0)</f>
        <v>15863</v>
      </c>
      <c r="J61" s="8">
        <f>ROUNDUP(((C60-F61) + ((C60-F61)*D60*18))/18, 0)</f>
        <v>11192</v>
      </c>
      <c r="K61" s="8">
        <f>ROUNDUP(((C60-F61) + ((C60-F61)*D60*24))/24, 0)</f>
        <v>8856</v>
      </c>
      <c r="L61" s="8">
        <f>ROUNDUP(((C60-F61) + ((C60-F61)*D60*30))/30, 0)</f>
        <v>7455</v>
      </c>
      <c r="M61" s="8">
        <f>ROUNDUP(((C60-F61) + ((C60-F61)*D60*36))/36, 0)</f>
        <v>6521</v>
      </c>
      <c r="N61" s="8">
        <f>ROUNDUP(((C60-F61) + ((C60-F61)*D60*48))/48, 0)</f>
        <v>5353</v>
      </c>
    </row>
    <row r="62" spans="1:14" x14ac:dyDescent="0.2">
      <c r="A62" s="162"/>
      <c r="B62" s="162"/>
      <c r="C62" s="162"/>
      <c r="D62" s="162"/>
      <c r="E62" s="7">
        <v>0.1</v>
      </c>
      <c r="F62" s="8">
        <f>ROUND(C60*E62, 0)</f>
        <v>17700</v>
      </c>
      <c r="G62" s="162"/>
      <c r="H62" s="8">
        <f>F62+G60</f>
        <v>23700</v>
      </c>
      <c r="I62" s="8">
        <f>ROUNDUP(((C60-F62) + ((C60-F62)*D60*12))/12, 0)</f>
        <v>15028</v>
      </c>
      <c r="J62" s="8">
        <f>ROUNDUP(((C60-F62) + ((C60-F62)*D60*18))/18, 0)</f>
        <v>10603</v>
      </c>
      <c r="K62" s="8">
        <f>ROUNDUP(((C60-F62) + ((C60-F62)*D60*24))/24, 0)</f>
        <v>8390</v>
      </c>
      <c r="L62" s="8">
        <f>ROUNDUP(((C60-F62) + ((C60-F62)*D60*30))/30, 0)</f>
        <v>7063</v>
      </c>
      <c r="M62" s="8">
        <f>ROUNDUP(((C60-F62) + ((C60-F62)*D60*36))/36, 0)</f>
        <v>6178</v>
      </c>
      <c r="N62" s="8">
        <f>ROUNDUP(((C60-F62) + ((C60-F62)*D60*48))/48, 0)</f>
        <v>5072</v>
      </c>
    </row>
    <row r="63" spans="1:14" x14ac:dyDescent="0.2">
      <c r="A63" s="163"/>
      <c r="B63" s="163"/>
      <c r="C63" s="163"/>
      <c r="D63" s="163"/>
      <c r="E63" s="7">
        <v>0.15</v>
      </c>
      <c r="F63" s="8">
        <f>ROUND(C60*E63, 0)</f>
        <v>26550</v>
      </c>
      <c r="G63" s="163"/>
      <c r="H63" s="8">
        <f>F63+G60</f>
        <v>32550</v>
      </c>
      <c r="I63" s="8">
        <f>ROUNDUP(((C60-F63) + ((C60-F63)*D60*12))/12, 0)</f>
        <v>14193</v>
      </c>
      <c r="J63" s="8">
        <f>ROUNDUP(((C60-F63) + ((C60-F63)*D60*18))/18, 0)</f>
        <v>10014</v>
      </c>
      <c r="K63" s="8">
        <f>ROUNDUP(((C60-F63) + ((C60-F63)*D60*24))/24, 0)</f>
        <v>7924</v>
      </c>
      <c r="L63" s="8">
        <f>ROUNDUP(((C60-F63) + ((C60-F63)*D60*30))/30, 0)</f>
        <v>6670</v>
      </c>
      <c r="M63" s="8">
        <f>ROUNDUP(((C60-F63) + ((C60-F63)*D60*36))/36, 0)</f>
        <v>5835</v>
      </c>
      <c r="N63" s="8">
        <f>ROUNDUP(((C60-F63) + ((C60-F63)*D60*48))/48, 0)</f>
        <v>4790</v>
      </c>
    </row>
    <row r="64" spans="1:14" x14ac:dyDescent="0.2">
      <c r="A64" s="164" t="s">
        <v>44</v>
      </c>
      <c r="B64" s="164" t="s">
        <v>45</v>
      </c>
      <c r="C64" s="161">
        <v>203000</v>
      </c>
      <c r="D64" s="165">
        <v>1.0999999999999999E-2</v>
      </c>
      <c r="E64" s="4">
        <v>0</v>
      </c>
      <c r="F64" s="2">
        <v>48500</v>
      </c>
      <c r="G64" s="161">
        <v>6000</v>
      </c>
      <c r="H64" s="5">
        <f>F64+G64</f>
        <v>54500</v>
      </c>
      <c r="I64" s="5">
        <f>ROUNDUP(((C64-F64) + ((C64-F64)*D64*12))/12, 0)</f>
        <v>14575</v>
      </c>
      <c r="J64" s="5">
        <f>ROUNDUP(((C64-F64) + ((C64-F64)*D64*18))/18, 0)</f>
        <v>10283</v>
      </c>
      <c r="K64" s="5">
        <f>ROUNDUP(((C64-F64) + ((C64-F64)*D64*24))/24, 0)</f>
        <v>8137</v>
      </c>
      <c r="L64" s="5">
        <f>ROUNDUP(((C64-F64) + ((C64-F64)*D64*30))/30, 0)</f>
        <v>6850</v>
      </c>
      <c r="M64" s="5">
        <f>ROUNDUP(((C64-F64) + ((C64-F64)*D64*36))/36, 0)</f>
        <v>5992</v>
      </c>
      <c r="N64" s="6">
        <f>ROUNDUP(((C64-F64) + ((C64-F64)*D64*48))/48, 0)</f>
        <v>4919</v>
      </c>
    </row>
    <row r="65" spans="1:14" x14ac:dyDescent="0.2">
      <c r="A65" s="162"/>
      <c r="B65" s="162"/>
      <c r="C65" s="162"/>
      <c r="D65" s="162"/>
      <c r="E65" s="7">
        <v>0.05</v>
      </c>
      <c r="F65" s="8">
        <f>ROUND(C64*E65, 0)</f>
        <v>10150</v>
      </c>
      <c r="G65" s="162"/>
      <c r="H65" s="8">
        <f>F65+G64</f>
        <v>16150</v>
      </c>
      <c r="I65" s="8">
        <f>ROUNDUP(((C64-F65) + ((C64-F65)*D64*12))/12, 0)</f>
        <v>18193</v>
      </c>
      <c r="J65" s="8">
        <f>ROUNDUP(((C64-F65) + ((C64-F65)*D64*18))/18, 0)</f>
        <v>12836</v>
      </c>
      <c r="K65" s="8">
        <f>ROUNDUP(((C64-F65) + ((C64-F65)*D64*24))/24, 0)</f>
        <v>10157</v>
      </c>
      <c r="L65" s="8">
        <f>ROUNDUP(((C64-F65) + ((C64-F65)*D64*30))/30, 0)</f>
        <v>8550</v>
      </c>
      <c r="M65" s="8">
        <f>ROUNDUP(((C64-F65) + ((C64-F65)*D64*36))/36, 0)</f>
        <v>7479</v>
      </c>
      <c r="N65" s="8">
        <f>ROUNDUP(((C64-F65) + ((C64-F65)*D64*48))/48, 0)</f>
        <v>6140</v>
      </c>
    </row>
    <row r="66" spans="1:14" x14ac:dyDescent="0.2">
      <c r="A66" s="162"/>
      <c r="B66" s="162"/>
      <c r="C66" s="162"/>
      <c r="D66" s="162"/>
      <c r="E66" s="7">
        <v>0.1</v>
      </c>
      <c r="F66" s="8">
        <f>ROUND(C64*E66, 0)</f>
        <v>20300</v>
      </c>
      <c r="G66" s="162"/>
      <c r="H66" s="8">
        <f>F66+G64</f>
        <v>26300</v>
      </c>
      <c r="I66" s="8">
        <f>ROUNDUP(((C64-F66) + ((C64-F66)*D64*12))/12, 0)</f>
        <v>17235</v>
      </c>
      <c r="J66" s="8">
        <f>ROUNDUP(((C64-F66) + ((C64-F66)*D64*18))/18, 0)</f>
        <v>12160</v>
      </c>
      <c r="K66" s="8">
        <f>ROUNDUP(((C64-F66) + ((C64-F66)*D64*24))/24, 0)</f>
        <v>9623</v>
      </c>
      <c r="L66" s="8">
        <f>ROUNDUP(((C64-F66) + ((C64-F66)*D64*30))/30, 0)</f>
        <v>8100</v>
      </c>
      <c r="M66" s="8">
        <f>ROUNDUP(((C64-F66) + ((C64-F66)*D64*36))/36, 0)</f>
        <v>7085</v>
      </c>
      <c r="N66" s="8">
        <f>ROUNDUP(((C64-F66) + ((C64-F66)*D64*48))/48, 0)</f>
        <v>5816</v>
      </c>
    </row>
    <row r="67" spans="1:14" x14ac:dyDescent="0.2">
      <c r="A67" s="163"/>
      <c r="B67" s="163"/>
      <c r="C67" s="163"/>
      <c r="D67" s="163"/>
      <c r="E67" s="7">
        <v>0.15</v>
      </c>
      <c r="F67" s="8">
        <f>ROUND(C64*E67, 0)</f>
        <v>30450</v>
      </c>
      <c r="G67" s="163"/>
      <c r="H67" s="8">
        <f>F67+G64</f>
        <v>36450</v>
      </c>
      <c r="I67" s="8">
        <f>ROUNDUP(((C64-F67) + ((C64-F67)*D64*12))/12, 0)</f>
        <v>16278</v>
      </c>
      <c r="J67" s="8">
        <f>ROUNDUP(((C64-F67) + ((C64-F67)*D64*18))/18, 0)</f>
        <v>11485</v>
      </c>
      <c r="K67" s="8">
        <f>ROUNDUP(((C64-F67) + ((C64-F67)*D64*24))/24, 0)</f>
        <v>9088</v>
      </c>
      <c r="L67" s="8">
        <f>ROUNDUP(((C64-F67) + ((C64-F67)*D64*30))/30, 0)</f>
        <v>7650</v>
      </c>
      <c r="M67" s="8">
        <f>ROUNDUP(((C64-F67) + ((C64-F67)*D64*36))/36, 0)</f>
        <v>6692</v>
      </c>
      <c r="N67" s="8">
        <f>ROUNDUP(((C64-F67) + ((C64-F67)*D64*48))/48, 0)</f>
        <v>5493</v>
      </c>
    </row>
    <row r="68" spans="1:14" x14ac:dyDescent="0.2">
      <c r="A68" s="164" t="s">
        <v>46</v>
      </c>
      <c r="B68" s="164" t="s">
        <v>47</v>
      </c>
      <c r="C68" s="161">
        <v>85900</v>
      </c>
      <c r="D68" s="165">
        <v>1.0999999999999999E-2</v>
      </c>
      <c r="E68" s="4">
        <v>0</v>
      </c>
      <c r="F68" s="2">
        <v>5900</v>
      </c>
      <c r="G68" s="161">
        <v>1700</v>
      </c>
      <c r="H68" s="5">
        <f>F68+G68</f>
        <v>7600</v>
      </c>
      <c r="I68" s="5">
        <f>ROUNDUP(((C68-F68) + ((C68-F68)*D68*12))/12, 0)</f>
        <v>7547</v>
      </c>
      <c r="J68" s="5">
        <f>ROUNDUP(((C68-F68) + ((C68-F68)*D68*18))/18, 0)</f>
        <v>5325</v>
      </c>
      <c r="K68" s="5">
        <f>ROUNDUP(((C68-F68) + ((C68-F68)*D68*24))/24, 0)</f>
        <v>4214</v>
      </c>
      <c r="L68" s="5">
        <f>ROUNDUP(((C68-F68) + ((C68-F68)*D68*30))/30, 0)</f>
        <v>3547</v>
      </c>
      <c r="M68" s="5">
        <f>ROUNDUP(((C68-F68) + ((C68-F68)*D68*36))/36, 0)</f>
        <v>3103</v>
      </c>
      <c r="N68" s="6">
        <f>ROUNDUP(((C68-F68) + ((C68-F68)*D68*48))/48, 0)</f>
        <v>2547</v>
      </c>
    </row>
    <row r="69" spans="1:14" x14ac:dyDescent="0.2">
      <c r="A69" s="162"/>
      <c r="B69" s="162"/>
      <c r="C69" s="162"/>
      <c r="D69" s="162"/>
      <c r="E69" s="7">
        <v>0.05</v>
      </c>
      <c r="F69" s="8">
        <f>ROUND(C68*E69, 0)</f>
        <v>4295</v>
      </c>
      <c r="G69" s="162"/>
      <c r="H69" s="8">
        <f>F69+G68</f>
        <v>5995</v>
      </c>
      <c r="I69" s="8">
        <f>ROUNDUP(((C68-F69) + ((C68-F69)*D68*12))/12, 0)</f>
        <v>7699</v>
      </c>
      <c r="J69" s="8">
        <f>ROUNDUP(((C68-F69) + ((C68-F69)*D68*18))/18, 0)</f>
        <v>5432</v>
      </c>
      <c r="K69" s="8">
        <f>ROUNDUP(((C68-F69) + ((C68-F69)*D68*24))/24, 0)</f>
        <v>4298</v>
      </c>
      <c r="L69" s="8">
        <f>ROUNDUP(((C68-F69) + ((C68-F69)*D68*30))/30, 0)</f>
        <v>3618</v>
      </c>
      <c r="M69" s="8">
        <f>ROUNDUP(((C68-F69) + ((C68-F69)*D68*36))/36, 0)</f>
        <v>3165</v>
      </c>
      <c r="N69" s="8">
        <f>ROUNDUP(((C68-F69) + ((C68-F69)*D68*48))/48, 0)</f>
        <v>2598</v>
      </c>
    </row>
    <row r="70" spans="1:14" x14ac:dyDescent="0.2">
      <c r="A70" s="162"/>
      <c r="B70" s="162"/>
      <c r="C70" s="162"/>
      <c r="D70" s="162"/>
      <c r="E70" s="7">
        <v>0.1</v>
      </c>
      <c r="F70" s="8">
        <f>ROUND(C68*E70, 0)</f>
        <v>8590</v>
      </c>
      <c r="G70" s="162"/>
      <c r="H70" s="8">
        <f>F70+G68</f>
        <v>10290</v>
      </c>
      <c r="I70" s="8">
        <f>ROUNDUP(((C68-F70) + ((C68-F70)*D68*12))/12, 0)</f>
        <v>7293</v>
      </c>
      <c r="J70" s="8">
        <f>ROUNDUP(((C68-F70) + ((C68-F70)*D68*18))/18, 0)</f>
        <v>5146</v>
      </c>
      <c r="K70" s="8">
        <f>ROUNDUP(((C68-F70) + ((C68-F70)*D68*24))/24, 0)</f>
        <v>4072</v>
      </c>
      <c r="L70" s="8">
        <f>ROUNDUP(((C68-F70) + ((C68-F70)*D68*30))/30, 0)</f>
        <v>3428</v>
      </c>
      <c r="M70" s="8">
        <f>ROUNDUP(((C68-F70) + ((C68-F70)*D68*36))/36, 0)</f>
        <v>2998</v>
      </c>
      <c r="N70" s="8">
        <f>ROUNDUP(((C68-F70) + ((C68-F70)*D68*48))/48, 0)</f>
        <v>2462</v>
      </c>
    </row>
    <row r="71" spans="1:14" x14ac:dyDescent="0.2">
      <c r="A71" s="163"/>
      <c r="B71" s="163"/>
      <c r="C71" s="163"/>
      <c r="D71" s="163"/>
      <c r="E71" s="7">
        <v>0.15</v>
      </c>
      <c r="F71" s="8">
        <f>ROUND(C68*E71, 0)</f>
        <v>12885</v>
      </c>
      <c r="G71" s="163"/>
      <c r="H71" s="8">
        <f>F71+G68</f>
        <v>14585</v>
      </c>
      <c r="I71" s="8">
        <f>ROUNDUP(((C68-F71) + ((C68-F71)*D68*12))/12, 0)</f>
        <v>6888</v>
      </c>
      <c r="J71" s="8">
        <f>ROUNDUP(((C68-F71) + ((C68-F71)*D68*18))/18, 0)</f>
        <v>4860</v>
      </c>
      <c r="K71" s="8">
        <f>ROUNDUP(((C68-F71) + ((C68-F71)*D68*24))/24, 0)</f>
        <v>3846</v>
      </c>
      <c r="L71" s="8">
        <f>ROUNDUP(((C68-F71) + ((C68-F71)*D68*30))/30, 0)</f>
        <v>3237</v>
      </c>
      <c r="M71" s="8">
        <f>ROUNDUP(((C68-F71) + ((C68-F71)*D68*36))/36, 0)</f>
        <v>2832</v>
      </c>
      <c r="N71" s="8">
        <f>ROUNDUP(((C68-F71) + ((C68-F71)*D68*48))/48, 0)</f>
        <v>2325</v>
      </c>
    </row>
    <row r="72" spans="1:14" x14ac:dyDescent="0.2">
      <c r="A72" s="164" t="s">
        <v>48</v>
      </c>
      <c r="B72" s="164" t="s">
        <v>49</v>
      </c>
      <c r="C72" s="161">
        <v>99000</v>
      </c>
      <c r="D72" s="165">
        <v>1.0999999999999999E-2</v>
      </c>
      <c r="E72" s="4">
        <v>0</v>
      </c>
      <c r="F72" s="2">
        <v>19900</v>
      </c>
      <c r="G72" s="161">
        <v>1700</v>
      </c>
      <c r="H72" s="5">
        <f>F72+G72</f>
        <v>21600</v>
      </c>
      <c r="I72" s="5">
        <f>ROUNDUP(((C72-F72) + ((C72-F72)*D72*12))/12, 0)</f>
        <v>7462</v>
      </c>
      <c r="J72" s="5">
        <f>ROUNDUP(((C72-F72) + ((C72-F72)*D72*18))/18, 0)</f>
        <v>5265</v>
      </c>
      <c r="K72" s="5">
        <f>ROUNDUP(((C72-F72) + ((C72-F72)*D72*24))/24, 0)</f>
        <v>4166</v>
      </c>
      <c r="L72" s="5">
        <f>ROUNDUP(((C72-F72) + ((C72-F72)*D72*30))/30, 0)</f>
        <v>3507</v>
      </c>
      <c r="M72" s="5">
        <f>ROUNDUP(((C72-F72) + ((C72-F72)*D72*36))/36, 0)</f>
        <v>3068</v>
      </c>
      <c r="N72" s="6">
        <f>ROUNDUP(((C72-F72) + ((C72-F72)*D72*48))/48, 0)</f>
        <v>2519</v>
      </c>
    </row>
    <row r="73" spans="1:14" x14ac:dyDescent="0.2">
      <c r="A73" s="162"/>
      <c r="B73" s="162"/>
      <c r="C73" s="162"/>
      <c r="D73" s="162"/>
      <c r="E73" s="7">
        <v>0.05</v>
      </c>
      <c r="F73" s="8">
        <f>ROUND(C72*E73, 0)</f>
        <v>4950</v>
      </c>
      <c r="G73" s="162"/>
      <c r="H73" s="8">
        <f>F73+G72</f>
        <v>6650</v>
      </c>
      <c r="I73" s="8">
        <f>ROUNDUP(((C72-F73) + ((C72-F73)*D72*12))/12, 0)</f>
        <v>8873</v>
      </c>
      <c r="J73" s="8">
        <f>ROUNDUP(((C72-F73) + ((C72-F73)*D72*18))/18, 0)</f>
        <v>6260</v>
      </c>
      <c r="K73" s="8">
        <f>ROUNDUP(((C72-F73) + ((C72-F73)*D72*24))/24, 0)</f>
        <v>4954</v>
      </c>
      <c r="L73" s="8">
        <f>ROUNDUP(((C72-F73) + ((C72-F73)*D72*30))/30, 0)</f>
        <v>4170</v>
      </c>
      <c r="M73" s="8">
        <f>ROUNDUP(((C72-F73) + ((C72-F73)*D72*36))/36, 0)</f>
        <v>3648</v>
      </c>
      <c r="N73" s="8">
        <f>ROUNDUP(((C72-F73) + ((C72-F73)*D72*48))/48, 0)</f>
        <v>2994</v>
      </c>
    </row>
    <row r="74" spans="1:14" x14ac:dyDescent="0.2">
      <c r="A74" s="162"/>
      <c r="B74" s="162"/>
      <c r="C74" s="162"/>
      <c r="D74" s="162"/>
      <c r="E74" s="7">
        <v>0.1</v>
      </c>
      <c r="F74" s="8">
        <f>ROUND(C72*E74, 0)</f>
        <v>9900</v>
      </c>
      <c r="G74" s="162"/>
      <c r="H74" s="8">
        <f>F74+G72</f>
        <v>11600</v>
      </c>
      <c r="I74" s="8">
        <f>ROUNDUP(((C72-F74) + ((C72-F74)*D72*12))/12, 0)</f>
        <v>8406</v>
      </c>
      <c r="J74" s="8">
        <f>ROUNDUP(((C72-F74) + ((C72-F74)*D72*18))/18, 0)</f>
        <v>5931</v>
      </c>
      <c r="K74" s="8">
        <f>ROUNDUP(((C72-F74) + ((C72-F74)*D72*24))/24, 0)</f>
        <v>4693</v>
      </c>
      <c r="L74" s="8">
        <f>ROUNDUP(((C72-F74) + ((C72-F74)*D72*30))/30, 0)</f>
        <v>3951</v>
      </c>
      <c r="M74" s="8">
        <f>ROUNDUP(((C72-F74) + ((C72-F74)*D72*36))/36, 0)</f>
        <v>3456</v>
      </c>
      <c r="N74" s="8">
        <f>ROUNDUP(((C72-F74) + ((C72-F74)*D72*48))/48, 0)</f>
        <v>2837</v>
      </c>
    </row>
    <row r="75" spans="1:14" x14ac:dyDescent="0.2">
      <c r="A75" s="163"/>
      <c r="B75" s="163"/>
      <c r="C75" s="163"/>
      <c r="D75" s="163"/>
      <c r="E75" s="7">
        <v>0.15</v>
      </c>
      <c r="F75" s="8">
        <f>ROUND(C72*E75, 0)</f>
        <v>14850</v>
      </c>
      <c r="G75" s="163"/>
      <c r="H75" s="8">
        <f>F75+G72</f>
        <v>16550</v>
      </c>
      <c r="I75" s="8">
        <f>ROUNDUP(((C72-F75) + ((C72-F75)*D72*12))/12, 0)</f>
        <v>7939</v>
      </c>
      <c r="J75" s="8">
        <f>ROUNDUP(((C72-F75) + ((C72-F75)*D72*18))/18, 0)</f>
        <v>5601</v>
      </c>
      <c r="K75" s="8">
        <f>ROUNDUP(((C72-F75) + ((C72-F75)*D72*24))/24, 0)</f>
        <v>4432</v>
      </c>
      <c r="L75" s="8">
        <f>ROUNDUP(((C72-F75) + ((C72-F75)*D72*30))/30, 0)</f>
        <v>3731</v>
      </c>
      <c r="M75" s="8">
        <f>ROUNDUP(((C72-F75) + ((C72-F75)*D72*36))/36, 0)</f>
        <v>3264</v>
      </c>
      <c r="N75" s="8">
        <f>ROUNDUP(((C72-F75) + ((C72-F75)*D72*48))/48, 0)</f>
        <v>2679</v>
      </c>
    </row>
    <row r="76" spans="1:14" x14ac:dyDescent="0.2">
      <c r="A76" s="164" t="s">
        <v>50</v>
      </c>
      <c r="B76" s="164" t="s">
        <v>17</v>
      </c>
      <c r="C76" s="161">
        <v>53800</v>
      </c>
      <c r="D76" s="165">
        <v>1.4999999999999999E-2</v>
      </c>
      <c r="E76" s="4">
        <v>0</v>
      </c>
      <c r="F76" s="2">
        <v>4900</v>
      </c>
      <c r="G76" s="161">
        <v>1700</v>
      </c>
      <c r="H76" s="5">
        <f>F76+G76</f>
        <v>6600</v>
      </c>
      <c r="I76" s="5">
        <f>ROUNDUP(((C76-F76) + ((C76-F76)*D76*12))/12, 0)</f>
        <v>4809</v>
      </c>
      <c r="J76" s="5">
        <f>ROUNDUP(((C76-F76) + ((C76-F76)*D76*18))/18, 0)</f>
        <v>3451</v>
      </c>
      <c r="K76" s="5">
        <f>ROUNDUP(((C76-F76) + ((C76-F76)*D76*24))/24, 0)</f>
        <v>2771</v>
      </c>
      <c r="L76" s="5">
        <f>ROUNDUP(((C76-F76) + ((C76-F76)*D76*30))/30, 0)</f>
        <v>2364</v>
      </c>
      <c r="M76" s="5">
        <f>ROUNDUP(((C76-F76) + ((C76-F76)*D76*36))/36, 0)</f>
        <v>2092</v>
      </c>
      <c r="N76" s="6">
        <f>ROUNDUP(((C76-F76) + ((C76-F76)*D76*48))/48, 0)</f>
        <v>1753</v>
      </c>
    </row>
    <row r="77" spans="1:14" x14ac:dyDescent="0.2">
      <c r="A77" s="162"/>
      <c r="B77" s="162"/>
      <c r="C77" s="162"/>
      <c r="D77" s="162"/>
      <c r="E77" s="7">
        <v>0.05</v>
      </c>
      <c r="F77" s="8">
        <f>ROUND(C76*E77, 0)</f>
        <v>2690</v>
      </c>
      <c r="G77" s="162"/>
      <c r="H77" s="8">
        <f>F77+G76</f>
        <v>4390</v>
      </c>
      <c r="I77" s="8">
        <f>ROUNDUP(((C76-F77) + ((C76-F77)*D76*12))/12, 0)</f>
        <v>5026</v>
      </c>
      <c r="J77" s="8">
        <f>ROUNDUP(((C76-F77) + ((C76-F77)*D76*18))/18, 0)</f>
        <v>3607</v>
      </c>
      <c r="K77" s="8">
        <f>ROUNDUP(((C76-F77) + ((C76-F77)*D76*24))/24, 0)</f>
        <v>2897</v>
      </c>
      <c r="L77" s="8">
        <f>ROUNDUP(((C76-F77) + ((C76-F77)*D76*30))/30, 0)</f>
        <v>2471</v>
      </c>
      <c r="M77" s="8">
        <f>ROUNDUP(((C76-F77) + ((C76-F77)*D76*36))/36, 0)</f>
        <v>2187</v>
      </c>
      <c r="N77" s="8">
        <f>ROUNDUP(((C76-F77) + ((C76-F77)*D76*48))/48, 0)</f>
        <v>1832</v>
      </c>
    </row>
    <row r="78" spans="1:14" x14ac:dyDescent="0.2">
      <c r="A78" s="162"/>
      <c r="B78" s="162"/>
      <c r="C78" s="162"/>
      <c r="D78" s="162"/>
      <c r="E78" s="7">
        <v>0.1</v>
      </c>
      <c r="F78" s="8">
        <f>ROUND(C76*E78, 0)</f>
        <v>5380</v>
      </c>
      <c r="G78" s="162"/>
      <c r="H78" s="8">
        <f>F78+G76</f>
        <v>7080</v>
      </c>
      <c r="I78" s="8">
        <f>ROUNDUP(((C76-F78) + ((C76-F78)*D76*12))/12, 0)</f>
        <v>4762</v>
      </c>
      <c r="J78" s="8">
        <f>ROUNDUP(((C76-F78) + ((C76-F78)*D76*18))/18, 0)</f>
        <v>3417</v>
      </c>
      <c r="K78" s="8">
        <f>ROUNDUP(((C76-F78) + ((C76-F78)*D76*24))/24, 0)</f>
        <v>2744</v>
      </c>
      <c r="L78" s="8">
        <f>ROUNDUP(((C76-F78) + ((C76-F78)*D76*30))/30, 0)</f>
        <v>2341</v>
      </c>
      <c r="M78" s="8">
        <f>ROUNDUP(((C76-F78) + ((C76-F78)*D76*36))/36, 0)</f>
        <v>2072</v>
      </c>
      <c r="N78" s="8">
        <f>ROUNDUP(((C76-F78) + ((C76-F78)*D76*48))/48, 0)</f>
        <v>1736</v>
      </c>
    </row>
    <row r="79" spans="1:14" x14ac:dyDescent="0.2">
      <c r="A79" s="163"/>
      <c r="B79" s="163"/>
      <c r="C79" s="163"/>
      <c r="D79" s="163"/>
      <c r="E79" s="7">
        <v>0.15</v>
      </c>
      <c r="F79" s="8">
        <f>ROUND(C76*E79, 0)</f>
        <v>8070</v>
      </c>
      <c r="G79" s="163"/>
      <c r="H79" s="8">
        <f>F79+G76</f>
        <v>9770</v>
      </c>
      <c r="I79" s="8">
        <f>ROUNDUP(((C76-F79) + ((C76-F79)*D76*12))/12, 0)</f>
        <v>4497</v>
      </c>
      <c r="J79" s="8">
        <f>ROUNDUP(((C76-F79) + ((C76-F79)*D76*18))/18, 0)</f>
        <v>3227</v>
      </c>
      <c r="K79" s="8">
        <f>ROUNDUP(((C76-F79) + ((C76-F79)*D76*24))/24, 0)</f>
        <v>2592</v>
      </c>
      <c r="L79" s="8">
        <f>ROUNDUP(((C76-F79) + ((C76-F79)*D76*30))/30, 0)</f>
        <v>2211</v>
      </c>
      <c r="M79" s="8">
        <f>ROUNDUP(((C76-F79) + ((C76-F79)*D76*36))/36, 0)</f>
        <v>1957</v>
      </c>
      <c r="N79" s="8">
        <f>ROUNDUP(((C76-F79) + ((C76-F79)*D76*48))/48, 0)</f>
        <v>1639</v>
      </c>
    </row>
    <row r="81" spans="1:14" x14ac:dyDescent="0.2">
      <c r="A81" s="169" t="s">
        <v>51</v>
      </c>
      <c r="B81" s="168"/>
      <c r="C81" s="168"/>
      <c r="D81" s="168"/>
      <c r="E81" s="168"/>
      <c r="F81" s="168"/>
      <c r="G81" s="168"/>
      <c r="H81" s="168"/>
      <c r="I81" s="168"/>
      <c r="J81" s="168"/>
      <c r="K81" s="168"/>
      <c r="L81" s="168"/>
      <c r="M81" s="168"/>
      <c r="N81" s="168"/>
    </row>
  </sheetData>
  <mergeCells count="106">
    <mergeCell ref="A81:N81"/>
    <mergeCell ref="A24:A27"/>
    <mergeCell ref="G2:G3"/>
    <mergeCell ref="C24:C27"/>
    <mergeCell ref="G40:G43"/>
    <mergeCell ref="A48:A51"/>
    <mergeCell ref="D44:D47"/>
    <mergeCell ref="G8:G11"/>
    <mergeCell ref="B12:B15"/>
    <mergeCell ref="B72:B75"/>
    <mergeCell ref="A16:A19"/>
    <mergeCell ref="D72:D75"/>
    <mergeCell ref="G68:G71"/>
    <mergeCell ref="B48:B51"/>
    <mergeCell ref="D4:D7"/>
    <mergeCell ref="B40:B43"/>
    <mergeCell ref="D56:D59"/>
    <mergeCell ref="G20:G23"/>
    <mergeCell ref="C28:C31"/>
    <mergeCell ref="G44:G47"/>
    <mergeCell ref="I2:N2"/>
    <mergeCell ref="G12:G15"/>
    <mergeCell ref="G72:G75"/>
    <mergeCell ref="B76:B79"/>
    <mergeCell ref="F2:F3"/>
    <mergeCell ref="H2:H3"/>
    <mergeCell ref="A1:N1"/>
    <mergeCell ref="C4:C7"/>
    <mergeCell ref="D36:D39"/>
    <mergeCell ref="C44:C47"/>
    <mergeCell ref="A12:A15"/>
    <mergeCell ref="C12:C15"/>
    <mergeCell ref="G24:G27"/>
    <mergeCell ref="B28:B31"/>
    <mergeCell ref="A32:A35"/>
    <mergeCell ref="D28:D31"/>
    <mergeCell ref="D12:D15"/>
    <mergeCell ref="B4:B7"/>
    <mergeCell ref="B32:B35"/>
    <mergeCell ref="A40:A43"/>
    <mergeCell ref="B2:B3"/>
    <mergeCell ref="D2:D3"/>
    <mergeCell ref="D40:D43"/>
    <mergeCell ref="G28:G31"/>
    <mergeCell ref="B8:B11"/>
    <mergeCell ref="D16:D19"/>
    <mergeCell ref="G4:G7"/>
    <mergeCell ref="A20:A23"/>
    <mergeCell ref="G76:G79"/>
    <mergeCell ref="D24:D27"/>
    <mergeCell ref="G60:G63"/>
    <mergeCell ref="D8:D11"/>
    <mergeCell ref="C68:C71"/>
    <mergeCell ref="B16:B19"/>
    <mergeCell ref="A36:A39"/>
    <mergeCell ref="G52:G55"/>
    <mergeCell ref="B56:B59"/>
    <mergeCell ref="A64:A67"/>
    <mergeCell ref="C20:C23"/>
    <mergeCell ref="G36:G39"/>
    <mergeCell ref="B60:B63"/>
    <mergeCell ref="G64:G67"/>
    <mergeCell ref="C48:C51"/>
    <mergeCell ref="G56:G59"/>
    <mergeCell ref="B64:B67"/>
    <mergeCell ref="D64:D67"/>
    <mergeCell ref="A68:A71"/>
    <mergeCell ref="A52:A55"/>
    <mergeCell ref="A60:A63"/>
    <mergeCell ref="D76:D79"/>
    <mergeCell ref="C52:C55"/>
    <mergeCell ref="C36:C39"/>
    <mergeCell ref="A2:A3"/>
    <mergeCell ref="C2:C3"/>
    <mergeCell ref="E2:E3"/>
    <mergeCell ref="D32:D35"/>
    <mergeCell ref="C40:C43"/>
    <mergeCell ref="A76:A79"/>
    <mergeCell ref="B44:B47"/>
    <mergeCell ref="C76:C79"/>
    <mergeCell ref="A8:A11"/>
    <mergeCell ref="C8:C11"/>
    <mergeCell ref="C60:C63"/>
    <mergeCell ref="B24:B27"/>
    <mergeCell ref="B68:B71"/>
    <mergeCell ref="A72:A75"/>
    <mergeCell ref="D68:D71"/>
    <mergeCell ref="C72:C75"/>
    <mergeCell ref="C32:C35"/>
    <mergeCell ref="A4:A7"/>
    <mergeCell ref="B36:B39"/>
    <mergeCell ref="A44:A47"/>
    <mergeCell ref="B20:B23"/>
    <mergeCell ref="A28:A31"/>
    <mergeCell ref="D20:D23"/>
    <mergeCell ref="D60:D63"/>
    <mergeCell ref="C64:C67"/>
    <mergeCell ref="G48:G51"/>
    <mergeCell ref="B52:B55"/>
    <mergeCell ref="D52:D55"/>
    <mergeCell ref="A56:A59"/>
    <mergeCell ref="C16:C19"/>
    <mergeCell ref="D48:D51"/>
    <mergeCell ref="C56:C59"/>
    <mergeCell ref="G32:G35"/>
    <mergeCell ref="G16:G19"/>
  </mergeCells>
  <pageMargins left="0.25" right="0.25" top="0.5" bottom="0.5" header="0.5" footer="0.5"/>
  <pageSetup paperSize="9" scale="9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25"/>
  <sheetViews>
    <sheetView workbookViewId="0">
      <pane ySplit="3" topLeftCell="A4" activePane="bottomLeft" state="frozen"/>
      <selection pane="bottomLeft" sqref="A1:N1"/>
    </sheetView>
  </sheetViews>
  <sheetFormatPr defaultRowHeight="14.25" x14ac:dyDescent="0.2"/>
  <cols>
    <col min="1" max="1" width="22" customWidth="1"/>
    <col min="2" max="2" width="9" customWidth="1"/>
    <col min="3" max="3" width="10" customWidth="1"/>
    <col min="4" max="4" width="9" customWidth="1"/>
    <col min="5" max="5" width="8" customWidth="1"/>
    <col min="6" max="6" width="9" customWidth="1"/>
    <col min="7" max="8" width="10" customWidth="1"/>
    <col min="9" max="14" width="8" customWidth="1"/>
  </cols>
  <sheetData>
    <row r="1" spans="1:14" ht="30" customHeight="1" x14ac:dyDescent="0.2">
      <c r="A1" s="170" t="s">
        <v>52</v>
      </c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</row>
    <row r="2" spans="1:14" x14ac:dyDescent="0.2">
      <c r="A2" s="166" t="s">
        <v>1</v>
      </c>
      <c r="B2" s="166" t="s">
        <v>2</v>
      </c>
      <c r="C2" s="166" t="s">
        <v>3</v>
      </c>
      <c r="D2" s="166" t="s">
        <v>4</v>
      </c>
      <c r="E2" s="166" t="s">
        <v>5</v>
      </c>
      <c r="F2" s="166" t="s">
        <v>6</v>
      </c>
      <c r="G2" s="166" t="s">
        <v>7</v>
      </c>
      <c r="H2" s="166" t="s">
        <v>8</v>
      </c>
      <c r="I2" s="166" t="s">
        <v>9</v>
      </c>
      <c r="J2" s="166"/>
      <c r="K2" s="166"/>
      <c r="L2" s="166"/>
      <c r="M2" s="166"/>
      <c r="N2" s="166"/>
    </row>
    <row r="3" spans="1:14" x14ac:dyDescent="0.2">
      <c r="A3" s="166"/>
      <c r="B3" s="166"/>
      <c r="C3" s="166"/>
      <c r="D3" s="166"/>
      <c r="E3" s="166"/>
      <c r="F3" s="166"/>
      <c r="G3" s="166"/>
      <c r="H3" s="166"/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</row>
    <row r="4" spans="1:14" x14ac:dyDescent="0.2">
      <c r="A4" s="164" t="s">
        <v>53</v>
      </c>
      <c r="B4" s="164" t="s">
        <v>54</v>
      </c>
      <c r="C4" s="161">
        <v>52000</v>
      </c>
      <c r="D4" s="165">
        <v>1.4E-2</v>
      </c>
      <c r="E4" s="4">
        <v>0</v>
      </c>
      <c r="F4" s="2">
        <v>900</v>
      </c>
      <c r="G4" s="161">
        <v>1000</v>
      </c>
      <c r="H4" s="5">
        <f>F4+G4</f>
        <v>1900</v>
      </c>
      <c r="I4" s="5">
        <f>ROUNDUP(((C4-F4) + ((C4-F4)*D4*12))/12, 0)</f>
        <v>4974</v>
      </c>
      <c r="J4" s="5">
        <f>ROUNDUP(((C4-F4) + ((C4-F4)*D4*18))/18, 0)</f>
        <v>3555</v>
      </c>
      <c r="K4" s="5">
        <f>ROUNDUP(((C4-F4) + ((C4-F4)*D4*24))/24, 0)</f>
        <v>2845</v>
      </c>
      <c r="L4" s="5">
        <f>ROUNDUP(((C4-F4) + ((C4-F4)*D4*30))/30, 0)</f>
        <v>2419</v>
      </c>
      <c r="M4" s="5">
        <f>ROUNDUP(((C4-F4) + ((C4-F4)*D4*36))/36, 0)</f>
        <v>2135</v>
      </c>
      <c r="N4" s="6">
        <f>ROUNDUP(((C4-F4) + ((C4-F4)*D4*48))/48, 0)</f>
        <v>1780</v>
      </c>
    </row>
    <row r="5" spans="1:14" x14ac:dyDescent="0.2">
      <c r="A5" s="162"/>
      <c r="B5" s="162"/>
      <c r="C5" s="162"/>
      <c r="D5" s="162"/>
      <c r="E5" s="7">
        <v>0.05</v>
      </c>
      <c r="F5" s="8">
        <f>ROUND(C4*E5, 0)</f>
        <v>2600</v>
      </c>
      <c r="G5" s="162"/>
      <c r="H5" s="8">
        <f>F5+G4</f>
        <v>3600</v>
      </c>
      <c r="I5" s="8">
        <f>ROUNDUP(((C4-F5) + ((C4-F5)*D4*12))/12, 0)</f>
        <v>4809</v>
      </c>
      <c r="J5" s="8">
        <f>ROUNDUP(((C4-F5) + ((C4-F5)*D4*18))/18, 0)</f>
        <v>3437</v>
      </c>
      <c r="K5" s="8">
        <f>ROUNDUP(((C4-F5) + ((C4-F5)*D4*24))/24, 0)</f>
        <v>2750</v>
      </c>
      <c r="L5" s="8">
        <f>ROUNDUP(((C4-F5) + ((C4-F5)*D4*30))/30, 0)</f>
        <v>2339</v>
      </c>
      <c r="M5" s="8">
        <f>ROUNDUP(((C4-F5) + ((C4-F5)*D4*36))/36, 0)</f>
        <v>2064</v>
      </c>
      <c r="N5" s="8">
        <f>ROUNDUP(((C4-F5) + ((C4-F5)*D4*48))/48, 0)</f>
        <v>1721</v>
      </c>
    </row>
    <row r="6" spans="1:14" x14ac:dyDescent="0.2">
      <c r="A6" s="162"/>
      <c r="B6" s="162"/>
      <c r="C6" s="162"/>
      <c r="D6" s="162"/>
      <c r="E6" s="7">
        <v>0.1</v>
      </c>
      <c r="F6" s="8">
        <f>ROUND(C4*E6, 0)</f>
        <v>5200</v>
      </c>
      <c r="G6" s="162"/>
      <c r="H6" s="8">
        <f>F6+G4</f>
        <v>6200</v>
      </c>
      <c r="I6" s="8">
        <f>ROUNDUP(((C4-F6) + ((C4-F6)*D4*12))/12, 0)</f>
        <v>4556</v>
      </c>
      <c r="J6" s="8">
        <f>ROUNDUP(((C4-F6) + ((C4-F6)*D4*18))/18, 0)</f>
        <v>3256</v>
      </c>
      <c r="K6" s="8">
        <f>ROUNDUP(((C4-F6) + ((C4-F6)*D4*24))/24, 0)</f>
        <v>2606</v>
      </c>
      <c r="L6" s="8">
        <f>ROUNDUP(((C4-F6) + ((C4-F6)*D4*30))/30, 0)</f>
        <v>2216</v>
      </c>
      <c r="M6" s="8">
        <f>ROUNDUP(((C4-F6) + ((C4-F6)*D4*36))/36, 0)</f>
        <v>1956</v>
      </c>
      <c r="N6" s="8">
        <f>ROUNDUP(((C4-F6) + ((C4-F6)*D4*48))/48, 0)</f>
        <v>1631</v>
      </c>
    </row>
    <row r="7" spans="1:14" x14ac:dyDescent="0.2">
      <c r="A7" s="163"/>
      <c r="B7" s="163"/>
      <c r="C7" s="163"/>
      <c r="D7" s="163"/>
      <c r="E7" s="7">
        <v>0.15</v>
      </c>
      <c r="F7" s="8">
        <f>ROUND(C4*E7, 0)</f>
        <v>7800</v>
      </c>
      <c r="G7" s="163"/>
      <c r="H7" s="8">
        <f>F7+G4</f>
        <v>8800</v>
      </c>
      <c r="I7" s="8">
        <f>ROUNDUP(((C4-F7) + ((C4-F7)*D4*12))/12, 0)</f>
        <v>4303</v>
      </c>
      <c r="J7" s="8">
        <f>ROUNDUP(((C4-F7) + ((C4-F7)*D4*18))/18, 0)</f>
        <v>3075</v>
      </c>
      <c r="K7" s="8">
        <f>ROUNDUP(((C4-F7) + ((C4-F7)*D4*24))/24, 0)</f>
        <v>2461</v>
      </c>
      <c r="L7" s="8">
        <f>ROUNDUP(((C4-F7) + ((C4-F7)*D4*30))/30, 0)</f>
        <v>2093</v>
      </c>
      <c r="M7" s="8">
        <f>ROUNDUP(((C4-F7) + ((C4-F7)*D4*36))/36, 0)</f>
        <v>1847</v>
      </c>
      <c r="N7" s="8">
        <f>ROUNDUP(((C4-F7) + ((C4-F7)*D4*48))/48, 0)</f>
        <v>1540</v>
      </c>
    </row>
    <row r="8" spans="1:14" x14ac:dyDescent="0.2">
      <c r="A8" s="164" t="s">
        <v>55</v>
      </c>
      <c r="B8" s="164" t="s">
        <v>56</v>
      </c>
      <c r="C8" s="161">
        <v>54000</v>
      </c>
      <c r="D8" s="165">
        <v>1.49E-2</v>
      </c>
      <c r="E8" s="4">
        <v>0</v>
      </c>
      <c r="F8" s="2">
        <v>2900</v>
      </c>
      <c r="G8" s="161">
        <v>1000</v>
      </c>
      <c r="H8" s="5">
        <f>F8+G8</f>
        <v>3900</v>
      </c>
      <c r="I8" s="5">
        <f>ROUNDUP(((C8-F8) + ((C8-F8)*D8*12))/12, 0)</f>
        <v>5020</v>
      </c>
      <c r="J8" s="5">
        <f>ROUNDUP(((C8-F8) + ((C8-F8)*D8*18))/18, 0)</f>
        <v>3601</v>
      </c>
      <c r="K8" s="5">
        <f>ROUNDUP(((C8-F8) + ((C8-F8)*D8*24))/24, 0)</f>
        <v>2891</v>
      </c>
      <c r="L8" s="5">
        <f>ROUNDUP(((C8-F8) + ((C8-F8)*D8*30))/30, 0)</f>
        <v>2465</v>
      </c>
      <c r="M8" s="5">
        <f>ROUNDUP(((C8-F8) + ((C8-F8)*D8*36))/36, 0)</f>
        <v>2181</v>
      </c>
      <c r="N8" s="6">
        <f>ROUNDUP(((C8-F8) + ((C8-F8)*D8*48))/48, 0)</f>
        <v>1826</v>
      </c>
    </row>
    <row r="9" spans="1:14" x14ac:dyDescent="0.2">
      <c r="A9" s="162"/>
      <c r="B9" s="162"/>
      <c r="C9" s="162"/>
      <c r="D9" s="162"/>
      <c r="E9" s="7">
        <v>0.05</v>
      </c>
      <c r="F9" s="8">
        <f>ROUND(C8*E9, 0)</f>
        <v>2700</v>
      </c>
      <c r="G9" s="162"/>
      <c r="H9" s="8">
        <f>F9+G8</f>
        <v>3700</v>
      </c>
      <c r="I9" s="8">
        <f>ROUNDUP(((C8-F9) + ((C8-F9)*D8*12))/12, 0)</f>
        <v>5040</v>
      </c>
      <c r="J9" s="8">
        <f>ROUNDUP(((C8-F9) + ((C8-F9)*D8*18))/18, 0)</f>
        <v>3615</v>
      </c>
      <c r="K9" s="8">
        <f>ROUNDUP(((C8-F9) + ((C8-F9)*D8*24))/24, 0)</f>
        <v>2902</v>
      </c>
      <c r="L9" s="8">
        <f>ROUNDUP(((C8-F9) + ((C8-F9)*D8*30))/30, 0)</f>
        <v>2475</v>
      </c>
      <c r="M9" s="8">
        <f>ROUNDUP(((C8-F9) + ((C8-F9)*D8*36))/36, 0)</f>
        <v>2190</v>
      </c>
      <c r="N9" s="8">
        <f>ROUNDUP(((C8-F9) + ((C8-F9)*D8*48))/48, 0)</f>
        <v>1834</v>
      </c>
    </row>
    <row r="10" spans="1:14" x14ac:dyDescent="0.2">
      <c r="A10" s="162"/>
      <c r="B10" s="162"/>
      <c r="C10" s="162"/>
      <c r="D10" s="162"/>
      <c r="E10" s="7">
        <v>0.1</v>
      </c>
      <c r="F10" s="8">
        <f>ROUND(C8*E10, 0)</f>
        <v>5400</v>
      </c>
      <c r="G10" s="162"/>
      <c r="H10" s="8">
        <f>F10+G8</f>
        <v>6400</v>
      </c>
      <c r="I10" s="8">
        <f>ROUNDUP(((C8-F10) + ((C8-F10)*D8*12))/12, 0)</f>
        <v>4775</v>
      </c>
      <c r="J10" s="8">
        <f>ROUNDUP(((C8-F10) + ((C8-F10)*D8*18))/18, 0)</f>
        <v>3425</v>
      </c>
      <c r="K10" s="8">
        <f>ROUNDUP(((C8-F10) + ((C8-F10)*D8*24))/24, 0)</f>
        <v>2750</v>
      </c>
      <c r="L10" s="8">
        <f>ROUNDUP(((C8-F10) + ((C8-F10)*D8*30))/30, 0)</f>
        <v>2345</v>
      </c>
      <c r="M10" s="8">
        <f>ROUNDUP(((C8-F10) + ((C8-F10)*D8*36))/36, 0)</f>
        <v>2075</v>
      </c>
      <c r="N10" s="8">
        <f>ROUNDUP(((C8-F10) + ((C8-F10)*D8*48))/48, 0)</f>
        <v>1737</v>
      </c>
    </row>
    <row r="11" spans="1:14" x14ac:dyDescent="0.2">
      <c r="A11" s="163"/>
      <c r="B11" s="163"/>
      <c r="C11" s="163"/>
      <c r="D11" s="163"/>
      <c r="E11" s="7">
        <v>0.15</v>
      </c>
      <c r="F11" s="8">
        <f>ROUND(C8*E11, 0)</f>
        <v>8100</v>
      </c>
      <c r="G11" s="163"/>
      <c r="H11" s="8">
        <f>F11+G8</f>
        <v>9100</v>
      </c>
      <c r="I11" s="8">
        <f>ROUNDUP(((C8-F11) + ((C8-F11)*D8*12))/12, 0)</f>
        <v>4509</v>
      </c>
      <c r="J11" s="8">
        <f>ROUNDUP(((C8-F11) + ((C8-F11)*D8*18))/18, 0)</f>
        <v>3234</v>
      </c>
      <c r="K11" s="8">
        <f>ROUNDUP(((C8-F11) + ((C8-F11)*D8*24))/24, 0)</f>
        <v>2597</v>
      </c>
      <c r="L11" s="8">
        <f>ROUNDUP(((C8-F11) + ((C8-F11)*D8*30))/30, 0)</f>
        <v>2214</v>
      </c>
      <c r="M11" s="8">
        <f>ROUNDUP(((C8-F11) + ((C8-F11)*D8*36))/36, 0)</f>
        <v>1959</v>
      </c>
      <c r="N11" s="8">
        <f>ROUNDUP(((C8-F11) + ((C8-F11)*D8*48))/48, 0)</f>
        <v>1641</v>
      </c>
    </row>
    <row r="12" spans="1:14" x14ac:dyDescent="0.2">
      <c r="A12" s="164" t="s">
        <v>57</v>
      </c>
      <c r="B12" s="164" t="s">
        <v>58</v>
      </c>
      <c r="C12" s="161">
        <v>52300</v>
      </c>
      <c r="D12" s="165">
        <v>1.4500000000000001E-2</v>
      </c>
      <c r="E12" s="4">
        <v>0</v>
      </c>
      <c r="F12" s="2">
        <v>1900</v>
      </c>
      <c r="G12" s="161">
        <v>1000</v>
      </c>
      <c r="H12" s="5">
        <f>F12+G12</f>
        <v>2900</v>
      </c>
      <c r="I12" s="5">
        <f>ROUNDUP(((C12-F12) + ((C12-F12)*D12*12))/12, 0)</f>
        <v>4931</v>
      </c>
      <c r="J12" s="5">
        <f>ROUNDUP(((C12-F12) + ((C12-F12)*D12*18))/18, 0)</f>
        <v>3531</v>
      </c>
      <c r="K12" s="5">
        <f>ROUNDUP(((C12-F12) + ((C12-F12)*D12*24))/24, 0)</f>
        <v>2831</v>
      </c>
      <c r="L12" s="5">
        <f>ROUNDUP(((C12-F12) + ((C12-F12)*D12*30))/30, 0)</f>
        <v>2411</v>
      </c>
      <c r="M12" s="5">
        <f>ROUNDUP(((C12-F12) + ((C12-F12)*D12*36))/36, 0)</f>
        <v>2131</v>
      </c>
      <c r="N12" s="6">
        <f>ROUNDUP(((C12-F12) + ((C12-F12)*D12*48))/48, 0)</f>
        <v>1781</v>
      </c>
    </row>
    <row r="13" spans="1:14" x14ac:dyDescent="0.2">
      <c r="A13" s="162"/>
      <c r="B13" s="162"/>
      <c r="C13" s="162"/>
      <c r="D13" s="162"/>
      <c r="E13" s="7">
        <v>0.05</v>
      </c>
      <c r="F13" s="8">
        <f>ROUND(C12*E13, 0)</f>
        <v>2615</v>
      </c>
      <c r="G13" s="162"/>
      <c r="H13" s="8">
        <f>F13+G12</f>
        <v>3615</v>
      </c>
      <c r="I13" s="8">
        <f>ROUNDUP(((C12-F13) + ((C12-F13)*D12*12))/12, 0)</f>
        <v>4861</v>
      </c>
      <c r="J13" s="8">
        <f>ROUNDUP(((C12-F13) + ((C12-F13)*D12*18))/18, 0)</f>
        <v>3481</v>
      </c>
      <c r="K13" s="8">
        <f>ROUNDUP(((C12-F13) + ((C12-F13)*D12*24))/24, 0)</f>
        <v>2791</v>
      </c>
      <c r="L13" s="8">
        <f>ROUNDUP(((C12-F13) + ((C12-F13)*D12*30))/30, 0)</f>
        <v>2377</v>
      </c>
      <c r="M13" s="8">
        <f>ROUNDUP(((C12-F13) + ((C12-F13)*D12*36))/36, 0)</f>
        <v>2101</v>
      </c>
      <c r="N13" s="8">
        <f>ROUNDUP(((C12-F13) + ((C12-F13)*D12*48))/48, 0)</f>
        <v>1756</v>
      </c>
    </row>
    <row r="14" spans="1:14" x14ac:dyDescent="0.2">
      <c r="A14" s="162"/>
      <c r="B14" s="162"/>
      <c r="C14" s="162"/>
      <c r="D14" s="162"/>
      <c r="E14" s="7">
        <v>0.1</v>
      </c>
      <c r="F14" s="8">
        <f>ROUND(C12*E14, 0)</f>
        <v>5230</v>
      </c>
      <c r="G14" s="162"/>
      <c r="H14" s="8">
        <f>F14+G12</f>
        <v>6230</v>
      </c>
      <c r="I14" s="8">
        <f>ROUNDUP(((C12-F14) + ((C12-F14)*D12*12))/12, 0)</f>
        <v>4606</v>
      </c>
      <c r="J14" s="8">
        <f>ROUNDUP(((C12-F14) + ((C12-F14)*D12*18))/18, 0)</f>
        <v>3298</v>
      </c>
      <c r="K14" s="8">
        <f>ROUNDUP(((C12-F14) + ((C12-F14)*D12*24))/24, 0)</f>
        <v>2644</v>
      </c>
      <c r="L14" s="8">
        <f>ROUNDUP(((C12-F14) + ((C12-F14)*D12*30))/30, 0)</f>
        <v>2252</v>
      </c>
      <c r="M14" s="8">
        <f>ROUNDUP(((C12-F14) + ((C12-F14)*D12*36))/36, 0)</f>
        <v>1991</v>
      </c>
      <c r="N14" s="8">
        <f>ROUNDUP(((C12-F14) + ((C12-F14)*D12*48))/48, 0)</f>
        <v>1664</v>
      </c>
    </row>
    <row r="15" spans="1:14" x14ac:dyDescent="0.2">
      <c r="A15" s="163"/>
      <c r="B15" s="163"/>
      <c r="C15" s="163"/>
      <c r="D15" s="163"/>
      <c r="E15" s="7">
        <v>0.15</v>
      </c>
      <c r="F15" s="8">
        <f>ROUND(C12*E15, 0)</f>
        <v>7845</v>
      </c>
      <c r="G15" s="163"/>
      <c r="H15" s="8">
        <f>F15+G12</f>
        <v>8845</v>
      </c>
      <c r="I15" s="8">
        <f>ROUNDUP(((C12-F15) + ((C12-F15)*D12*12))/12, 0)</f>
        <v>4350</v>
      </c>
      <c r="J15" s="8">
        <f>ROUNDUP(((C12-F15) + ((C12-F15)*D12*18))/18, 0)</f>
        <v>3115</v>
      </c>
      <c r="K15" s="8">
        <f>ROUNDUP(((C12-F15) + ((C12-F15)*D12*24))/24, 0)</f>
        <v>2497</v>
      </c>
      <c r="L15" s="8">
        <f>ROUNDUP(((C12-F15) + ((C12-F15)*D12*30))/30, 0)</f>
        <v>2127</v>
      </c>
      <c r="M15" s="8">
        <f>ROUNDUP(((C12-F15) + ((C12-F15)*D12*36))/36, 0)</f>
        <v>1880</v>
      </c>
      <c r="N15" s="8">
        <f>ROUNDUP(((C12-F15) + ((C12-F15)*D12*48))/48, 0)</f>
        <v>1571</v>
      </c>
    </row>
    <row r="16" spans="1:14" x14ac:dyDescent="0.2">
      <c r="A16" s="164" t="s">
        <v>59</v>
      </c>
      <c r="B16" s="164" t="s">
        <v>60</v>
      </c>
      <c r="C16" s="161">
        <v>50300</v>
      </c>
      <c r="D16" s="165">
        <v>1.3899999999999999E-2</v>
      </c>
      <c r="E16" s="4">
        <v>0</v>
      </c>
      <c r="F16" s="2">
        <v>1900</v>
      </c>
      <c r="G16" s="161">
        <v>1000</v>
      </c>
      <c r="H16" s="5">
        <f>F16+G16</f>
        <v>2900</v>
      </c>
      <c r="I16" s="5">
        <f>ROUNDUP(((C16-F16) + ((C16-F16)*D16*12))/12, 0)</f>
        <v>4707</v>
      </c>
      <c r="J16" s="5">
        <f>ROUNDUP(((C16-F16) + ((C16-F16)*D16*18))/18, 0)</f>
        <v>3362</v>
      </c>
      <c r="K16" s="5">
        <f>ROUNDUP(((C16-F16) + ((C16-F16)*D16*24))/24, 0)</f>
        <v>2690</v>
      </c>
      <c r="L16" s="5">
        <f>ROUNDUP(((C16-F16) + ((C16-F16)*D16*30))/30, 0)</f>
        <v>2287</v>
      </c>
      <c r="M16" s="5">
        <f>ROUNDUP(((C16-F16) + ((C16-F16)*D16*36))/36, 0)</f>
        <v>2018</v>
      </c>
      <c r="N16" s="6">
        <f>ROUNDUP(((C16-F16) + ((C16-F16)*D16*48))/48, 0)</f>
        <v>1682</v>
      </c>
    </row>
    <row r="17" spans="1:14" x14ac:dyDescent="0.2">
      <c r="A17" s="162"/>
      <c r="B17" s="162"/>
      <c r="C17" s="162"/>
      <c r="D17" s="162"/>
      <c r="E17" s="7">
        <v>0.05</v>
      </c>
      <c r="F17" s="8">
        <f>ROUND(C16*E17, 0)</f>
        <v>2515</v>
      </c>
      <c r="G17" s="162"/>
      <c r="H17" s="8">
        <f>F17+G16</f>
        <v>3515</v>
      </c>
      <c r="I17" s="8">
        <f>ROUNDUP(((C16-F17) + ((C16-F17)*D16*12))/12, 0)</f>
        <v>4647</v>
      </c>
      <c r="J17" s="8">
        <f>ROUNDUP(((C16-F17) + ((C16-F17)*D16*18))/18, 0)</f>
        <v>3319</v>
      </c>
      <c r="K17" s="8">
        <f>ROUNDUP(((C16-F17) + ((C16-F17)*D16*24))/24, 0)</f>
        <v>2656</v>
      </c>
      <c r="L17" s="8">
        <f>ROUNDUP(((C16-F17) + ((C16-F17)*D16*30))/30, 0)</f>
        <v>2258</v>
      </c>
      <c r="M17" s="8">
        <f>ROUNDUP(((C16-F17) + ((C16-F17)*D16*36))/36, 0)</f>
        <v>1992</v>
      </c>
      <c r="N17" s="8">
        <f>ROUNDUP(((C16-F17) + ((C16-F17)*D16*48))/48, 0)</f>
        <v>1660</v>
      </c>
    </row>
    <row r="18" spans="1:14" x14ac:dyDescent="0.2">
      <c r="A18" s="162"/>
      <c r="B18" s="162"/>
      <c r="C18" s="162"/>
      <c r="D18" s="162"/>
      <c r="E18" s="7">
        <v>0.1</v>
      </c>
      <c r="F18" s="8">
        <f>ROUND(C16*E18, 0)</f>
        <v>5030</v>
      </c>
      <c r="G18" s="162"/>
      <c r="H18" s="8">
        <f>F18+G16</f>
        <v>6030</v>
      </c>
      <c r="I18" s="8">
        <f>ROUNDUP(((C16-F18) + ((C16-F18)*D16*12))/12, 0)</f>
        <v>4402</v>
      </c>
      <c r="J18" s="8">
        <f>ROUNDUP(((C16-F18) + ((C16-F18)*D16*18))/18, 0)</f>
        <v>3145</v>
      </c>
      <c r="K18" s="8">
        <f>ROUNDUP(((C16-F18) + ((C16-F18)*D16*24))/24, 0)</f>
        <v>2516</v>
      </c>
      <c r="L18" s="8">
        <f>ROUNDUP(((C16-F18) + ((C16-F18)*D16*30))/30, 0)</f>
        <v>2139</v>
      </c>
      <c r="M18" s="8">
        <f>ROUNDUP(((C16-F18) + ((C16-F18)*D16*36))/36, 0)</f>
        <v>1887</v>
      </c>
      <c r="N18" s="8">
        <f>ROUNDUP(((C16-F18) + ((C16-F18)*D16*48))/48, 0)</f>
        <v>1573</v>
      </c>
    </row>
    <row r="19" spans="1:14" x14ac:dyDescent="0.2">
      <c r="A19" s="163"/>
      <c r="B19" s="163"/>
      <c r="C19" s="163"/>
      <c r="D19" s="163"/>
      <c r="E19" s="7">
        <v>0.15</v>
      </c>
      <c r="F19" s="8">
        <f>ROUND(C16*E19, 0)</f>
        <v>7545</v>
      </c>
      <c r="G19" s="163"/>
      <c r="H19" s="8">
        <f>F19+G16</f>
        <v>8545</v>
      </c>
      <c r="I19" s="8">
        <f>ROUNDUP(((C16-F19) + ((C16-F19)*D16*12))/12, 0)</f>
        <v>4158</v>
      </c>
      <c r="J19" s="8">
        <f>ROUNDUP(((C16-F19) + ((C16-F19)*D16*18))/18, 0)</f>
        <v>2970</v>
      </c>
      <c r="K19" s="8">
        <f>ROUNDUP(((C16-F19) + ((C16-F19)*D16*24))/24, 0)</f>
        <v>2376</v>
      </c>
      <c r="L19" s="8">
        <f>ROUNDUP(((C16-F19) + ((C16-F19)*D16*30))/30, 0)</f>
        <v>2020</v>
      </c>
      <c r="M19" s="8">
        <f>ROUNDUP(((C16-F19) + ((C16-F19)*D16*36))/36, 0)</f>
        <v>1782</v>
      </c>
      <c r="N19" s="8">
        <f>ROUNDUP(((C16-F19) + ((C16-F19)*D16*48))/48, 0)</f>
        <v>1486</v>
      </c>
    </row>
    <row r="20" spans="1:14" x14ac:dyDescent="0.2">
      <c r="A20" s="164" t="s">
        <v>61</v>
      </c>
      <c r="B20" s="164" t="s">
        <v>62</v>
      </c>
      <c r="C20" s="161">
        <v>80500</v>
      </c>
      <c r="D20" s="165">
        <v>1.4999999999999999E-2</v>
      </c>
      <c r="E20" s="4">
        <v>0</v>
      </c>
      <c r="F20" s="2">
        <v>7900</v>
      </c>
      <c r="G20" s="161">
        <v>1700</v>
      </c>
      <c r="H20" s="5">
        <f>F20+G20</f>
        <v>9600</v>
      </c>
      <c r="I20" s="5">
        <f>ROUNDUP(((C20-F20) + ((C20-F20)*D20*12))/12, 0)</f>
        <v>7139</v>
      </c>
      <c r="J20" s="5">
        <f>ROUNDUP(((C20-F20) + ((C20-F20)*D20*18))/18, 0)</f>
        <v>5123</v>
      </c>
      <c r="K20" s="5">
        <f>ROUNDUP(((C20-F20) + ((C20-F20)*D20*24))/24, 0)</f>
        <v>4114</v>
      </c>
      <c r="L20" s="5">
        <f>ROUNDUP(((C20-F20) + ((C20-F20)*D20*30))/30, 0)</f>
        <v>3509</v>
      </c>
      <c r="M20" s="5">
        <f>ROUNDUP(((C20-F20) + ((C20-F20)*D20*36))/36, 0)</f>
        <v>3106</v>
      </c>
      <c r="N20" s="6">
        <f>ROUNDUP(((C20-F20) + ((C20-F20)*D20*48))/48, 0)</f>
        <v>2602</v>
      </c>
    </row>
    <row r="21" spans="1:14" x14ac:dyDescent="0.2">
      <c r="A21" s="162"/>
      <c r="B21" s="162"/>
      <c r="C21" s="162"/>
      <c r="D21" s="162"/>
      <c r="E21" s="7">
        <v>0.05</v>
      </c>
      <c r="F21" s="8">
        <f>ROUND(C20*E21, 0)</f>
        <v>4025</v>
      </c>
      <c r="G21" s="162"/>
      <c r="H21" s="8">
        <f>F21+G20</f>
        <v>5725</v>
      </c>
      <c r="I21" s="8">
        <f>ROUNDUP(((C20-F21) + ((C20-F21)*D20*12))/12, 0)</f>
        <v>7521</v>
      </c>
      <c r="J21" s="8">
        <f>ROUNDUP(((C20-F21) + ((C20-F21)*D20*18))/18, 0)</f>
        <v>5396</v>
      </c>
      <c r="K21" s="8">
        <f>ROUNDUP(((C20-F21) + ((C20-F21)*D20*24))/24, 0)</f>
        <v>4334</v>
      </c>
      <c r="L21" s="8">
        <f>ROUNDUP(((C20-F21) + ((C20-F21)*D20*30))/30, 0)</f>
        <v>3697</v>
      </c>
      <c r="M21" s="8">
        <f>ROUNDUP(((C20-F21) + ((C20-F21)*D20*36))/36, 0)</f>
        <v>3272</v>
      </c>
      <c r="N21" s="8">
        <f>ROUNDUP(((C20-F21) + ((C20-F21)*D20*48))/48, 0)</f>
        <v>2741</v>
      </c>
    </row>
    <row r="22" spans="1:14" x14ac:dyDescent="0.2">
      <c r="A22" s="162"/>
      <c r="B22" s="162"/>
      <c r="C22" s="162"/>
      <c r="D22" s="162"/>
      <c r="E22" s="7">
        <v>0.1</v>
      </c>
      <c r="F22" s="8">
        <f>ROUND(C20*E22, 0)</f>
        <v>8050</v>
      </c>
      <c r="G22" s="162"/>
      <c r="H22" s="8">
        <f>F22+G20</f>
        <v>9750</v>
      </c>
      <c r="I22" s="8">
        <f>ROUNDUP(((C20-F22) + ((C20-F22)*D20*12))/12, 0)</f>
        <v>7125</v>
      </c>
      <c r="J22" s="8">
        <f>ROUNDUP(((C20-F22) + ((C20-F22)*D20*18))/18, 0)</f>
        <v>5112</v>
      </c>
      <c r="K22" s="8">
        <f>ROUNDUP(((C20-F22) + ((C20-F22)*D20*24))/24, 0)</f>
        <v>4106</v>
      </c>
      <c r="L22" s="8">
        <f>ROUNDUP(((C20-F22) + ((C20-F22)*D20*30))/30, 0)</f>
        <v>3502</v>
      </c>
      <c r="M22" s="8">
        <f>ROUNDUP(((C20-F22) + ((C20-F22)*D20*36))/36, 0)</f>
        <v>3100</v>
      </c>
      <c r="N22" s="8">
        <f>ROUNDUP(((C20-F22) + ((C20-F22)*D20*48))/48, 0)</f>
        <v>2597</v>
      </c>
    </row>
    <row r="23" spans="1:14" x14ac:dyDescent="0.2">
      <c r="A23" s="163"/>
      <c r="B23" s="163"/>
      <c r="C23" s="163"/>
      <c r="D23" s="163"/>
      <c r="E23" s="7">
        <v>0.15</v>
      </c>
      <c r="F23" s="8">
        <f>ROUND(C20*E23, 0)</f>
        <v>12075</v>
      </c>
      <c r="G23" s="163"/>
      <c r="H23" s="8">
        <f>F23+G20</f>
        <v>13775</v>
      </c>
      <c r="I23" s="8">
        <f>ROUNDUP(((C20-F23) + ((C20-F23)*D20*12))/12, 0)</f>
        <v>6729</v>
      </c>
      <c r="J23" s="8">
        <f>ROUNDUP(((C20-F23) + ((C20-F23)*D20*18))/18, 0)</f>
        <v>4828</v>
      </c>
      <c r="K23" s="8">
        <f>ROUNDUP(((C20-F23) + ((C20-F23)*D20*24))/24, 0)</f>
        <v>3878</v>
      </c>
      <c r="L23" s="8">
        <f>ROUNDUP(((C20-F23) + ((C20-F23)*D20*30))/30, 0)</f>
        <v>3308</v>
      </c>
      <c r="M23" s="8">
        <f>ROUNDUP(((C20-F23) + ((C20-F23)*D20*36))/36, 0)</f>
        <v>2928</v>
      </c>
      <c r="N23" s="8">
        <f>ROUNDUP(((C20-F23) + ((C20-F23)*D20*48))/48, 0)</f>
        <v>2452</v>
      </c>
    </row>
    <row r="25" spans="1:14" x14ac:dyDescent="0.2">
      <c r="A25" s="169" t="s">
        <v>51</v>
      </c>
      <c r="B25" s="168"/>
      <c r="C25" s="168"/>
      <c r="D25" s="168"/>
      <c r="E25" s="168"/>
      <c r="F25" s="168"/>
      <c r="G25" s="168"/>
      <c r="H25" s="168"/>
      <c r="I25" s="168"/>
      <c r="J25" s="168"/>
      <c r="K25" s="168"/>
      <c r="L25" s="168"/>
      <c r="M25" s="168"/>
      <c r="N25" s="168"/>
    </row>
  </sheetData>
  <mergeCells count="36">
    <mergeCell ref="A25:N25"/>
    <mergeCell ref="A2:A3"/>
    <mergeCell ref="C2:C3"/>
    <mergeCell ref="E2:E3"/>
    <mergeCell ref="D4:D7"/>
    <mergeCell ref="A8:A11"/>
    <mergeCell ref="C8:C11"/>
    <mergeCell ref="D12:D15"/>
    <mergeCell ref="G4:G7"/>
    <mergeCell ref="A20:A23"/>
    <mergeCell ref="G20:G23"/>
    <mergeCell ref="A4:A7"/>
    <mergeCell ref="B16:B19"/>
    <mergeCell ref="D8:D11"/>
    <mergeCell ref="I2:N2"/>
    <mergeCell ref="B4:B7"/>
    <mergeCell ref="A16:A19"/>
    <mergeCell ref="H2:H3"/>
    <mergeCell ref="A1:N1"/>
    <mergeCell ref="C4:C7"/>
    <mergeCell ref="B8:B11"/>
    <mergeCell ref="A12:A15"/>
    <mergeCell ref="C16:C19"/>
    <mergeCell ref="C12:C15"/>
    <mergeCell ref="D16:D19"/>
    <mergeCell ref="G16:G19"/>
    <mergeCell ref="G12:G15"/>
    <mergeCell ref="G2:G3"/>
    <mergeCell ref="G8:G11"/>
    <mergeCell ref="B12:B15"/>
    <mergeCell ref="C20:C23"/>
    <mergeCell ref="B2:B3"/>
    <mergeCell ref="D2:D3"/>
    <mergeCell ref="F2:F3"/>
    <mergeCell ref="B20:B23"/>
    <mergeCell ref="D20:D23"/>
  </mergeCells>
  <pageMargins left="0.25" right="0.25" top="0.5" bottom="0.5" header="0.5" footer="0.5"/>
  <pageSetup paperSize="9"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21"/>
  <sheetViews>
    <sheetView workbookViewId="0">
      <pane ySplit="3" topLeftCell="A4" activePane="bottomLeft" state="frozen"/>
      <selection pane="bottomLeft" sqref="A1:N1"/>
    </sheetView>
  </sheetViews>
  <sheetFormatPr defaultRowHeight="14.25" x14ac:dyDescent="0.2"/>
  <cols>
    <col min="1" max="1" width="22" customWidth="1"/>
    <col min="2" max="2" width="9" customWidth="1"/>
    <col min="3" max="3" width="10" customWidth="1"/>
    <col min="4" max="4" width="9" customWidth="1"/>
    <col min="5" max="5" width="8" customWidth="1"/>
    <col min="6" max="6" width="9" customWidth="1"/>
    <col min="7" max="8" width="10" customWidth="1"/>
    <col min="9" max="14" width="8" customWidth="1"/>
  </cols>
  <sheetData>
    <row r="1" spans="1:14" ht="30" customHeight="1" x14ac:dyDescent="0.2">
      <c r="A1" s="167" t="s">
        <v>63</v>
      </c>
      <c r="B1" s="168"/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</row>
    <row r="2" spans="1:14" x14ac:dyDescent="0.2">
      <c r="A2" s="166" t="s">
        <v>1</v>
      </c>
      <c r="B2" s="166" t="s">
        <v>2</v>
      </c>
      <c r="C2" s="166" t="s">
        <v>3</v>
      </c>
      <c r="D2" s="166" t="s">
        <v>4</v>
      </c>
      <c r="E2" s="166" t="s">
        <v>5</v>
      </c>
      <c r="F2" s="166" t="s">
        <v>6</v>
      </c>
      <c r="G2" s="166" t="s">
        <v>7</v>
      </c>
      <c r="H2" s="166" t="s">
        <v>8</v>
      </c>
      <c r="I2" s="166" t="s">
        <v>9</v>
      </c>
      <c r="J2" s="166"/>
      <c r="K2" s="166"/>
      <c r="L2" s="166"/>
      <c r="M2" s="166"/>
      <c r="N2" s="166"/>
    </row>
    <row r="3" spans="1:14" x14ac:dyDescent="0.2">
      <c r="A3" s="166"/>
      <c r="B3" s="166"/>
      <c r="C3" s="166"/>
      <c r="D3" s="166"/>
      <c r="E3" s="166"/>
      <c r="F3" s="166"/>
      <c r="G3" s="166"/>
      <c r="H3" s="166"/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</row>
    <row r="4" spans="1:14" x14ac:dyDescent="0.2">
      <c r="A4" s="164" t="s">
        <v>64</v>
      </c>
      <c r="B4" s="164" t="s">
        <v>65</v>
      </c>
      <c r="C4" s="161">
        <v>107500</v>
      </c>
      <c r="D4" s="165">
        <v>9.0000000000000011E-3</v>
      </c>
      <c r="E4" s="4">
        <v>0</v>
      </c>
      <c r="F4" s="2">
        <v>7500</v>
      </c>
      <c r="G4" s="161">
        <v>2000</v>
      </c>
      <c r="H4" s="5">
        <f>F4+G4</f>
        <v>9500</v>
      </c>
      <c r="I4" s="5">
        <f>ROUNDUP(((C4-F4) + ((C4-F4)*D4*12))/12, 0)</f>
        <v>9234</v>
      </c>
      <c r="J4" s="5">
        <f>ROUNDUP(((C4-F4) + ((C4-F4)*D4*18))/18, 0)</f>
        <v>6456</v>
      </c>
      <c r="K4" s="5">
        <f>ROUNDUP(((C4-F4) + ((C4-F4)*D4*24))/24, 0)</f>
        <v>5067</v>
      </c>
      <c r="L4" s="5">
        <f>ROUNDUP(((C4-F4) + ((C4-F4)*D4*30))/30, 0)</f>
        <v>4234</v>
      </c>
      <c r="M4" s="5">
        <f>ROUNDUP(((C4-F4) + ((C4-F4)*D4*36))/36, 0)</f>
        <v>3678</v>
      </c>
      <c r="N4" s="6">
        <f>ROUNDUP(((C4-F4) + ((C4-F4)*D4*48))/48, 0)</f>
        <v>2984</v>
      </c>
    </row>
    <row r="5" spans="1:14" x14ac:dyDescent="0.2">
      <c r="A5" s="162"/>
      <c r="B5" s="162"/>
      <c r="C5" s="162"/>
      <c r="D5" s="162"/>
      <c r="E5" s="7">
        <v>0.05</v>
      </c>
      <c r="F5" s="8">
        <f>ROUND(C4*E5, 0)</f>
        <v>5375</v>
      </c>
      <c r="G5" s="162"/>
      <c r="H5" s="8">
        <f>F5+G4</f>
        <v>7375</v>
      </c>
      <c r="I5" s="8">
        <f>ROUNDUP(((C4-F5) + ((C4-F5)*D4*12))/12, 0)</f>
        <v>9430</v>
      </c>
      <c r="J5" s="8">
        <f>ROUNDUP(((C4-F5) + ((C4-F5)*D4*18))/18, 0)</f>
        <v>6593</v>
      </c>
      <c r="K5" s="8">
        <f>ROUNDUP(((C4-F5) + ((C4-F5)*D4*24))/24, 0)</f>
        <v>5175</v>
      </c>
      <c r="L5" s="8">
        <f>ROUNDUP(((C4-F5) + ((C4-F5)*D4*30))/30, 0)</f>
        <v>4324</v>
      </c>
      <c r="M5" s="8">
        <f>ROUNDUP(((C4-F5) + ((C4-F5)*D4*36))/36, 0)</f>
        <v>3756</v>
      </c>
      <c r="N5" s="8">
        <f>ROUNDUP(((C4-F5) + ((C4-F5)*D4*48))/48, 0)</f>
        <v>3047</v>
      </c>
    </row>
    <row r="6" spans="1:14" x14ac:dyDescent="0.2">
      <c r="A6" s="162"/>
      <c r="B6" s="162"/>
      <c r="C6" s="162"/>
      <c r="D6" s="162"/>
      <c r="E6" s="7">
        <v>0.1</v>
      </c>
      <c r="F6" s="8">
        <f>ROUND(C4*E6, 0)</f>
        <v>10750</v>
      </c>
      <c r="G6" s="162"/>
      <c r="H6" s="8">
        <f>F6+G4</f>
        <v>12750</v>
      </c>
      <c r="I6" s="8">
        <f>ROUNDUP(((C4-F6) + ((C4-F6)*D4*12))/12, 0)</f>
        <v>8934</v>
      </c>
      <c r="J6" s="8">
        <f>ROUNDUP(((C4-F6) + ((C4-F6)*D4*18))/18, 0)</f>
        <v>6246</v>
      </c>
      <c r="K6" s="8">
        <f>ROUNDUP(((C4-F6) + ((C4-F6)*D4*24))/24, 0)</f>
        <v>4902</v>
      </c>
      <c r="L6" s="8">
        <f>ROUNDUP(((C4-F6) + ((C4-F6)*D4*30))/30, 0)</f>
        <v>4096</v>
      </c>
      <c r="M6" s="8">
        <f>ROUNDUP(((C4-F6) + ((C4-F6)*D4*36))/36, 0)</f>
        <v>3559</v>
      </c>
      <c r="N6" s="8">
        <f>ROUNDUP(((C4-F6) + ((C4-F6)*D4*48))/48, 0)</f>
        <v>2887</v>
      </c>
    </row>
    <row r="7" spans="1:14" x14ac:dyDescent="0.2">
      <c r="A7" s="163"/>
      <c r="B7" s="163"/>
      <c r="C7" s="163"/>
      <c r="D7" s="163"/>
      <c r="E7" s="7">
        <v>0.15</v>
      </c>
      <c r="F7" s="8">
        <f>ROUND(C4*E7, 0)</f>
        <v>16125</v>
      </c>
      <c r="G7" s="163"/>
      <c r="H7" s="8">
        <f>F7+G4</f>
        <v>18125</v>
      </c>
      <c r="I7" s="8">
        <f>ROUNDUP(((C4-F7) + ((C4-F7)*D4*12))/12, 0)</f>
        <v>8437</v>
      </c>
      <c r="J7" s="8">
        <f>ROUNDUP(((C4-F7) + ((C4-F7)*D4*18))/18, 0)</f>
        <v>5899</v>
      </c>
      <c r="K7" s="8">
        <f>ROUNDUP(((C4-F7) + ((C4-F7)*D4*24))/24, 0)</f>
        <v>4630</v>
      </c>
      <c r="L7" s="8">
        <f>ROUNDUP(((C4-F7) + ((C4-F7)*D4*30))/30, 0)</f>
        <v>3869</v>
      </c>
      <c r="M7" s="8">
        <f>ROUNDUP(((C4-F7) + ((C4-F7)*D4*36))/36, 0)</f>
        <v>3361</v>
      </c>
      <c r="N7" s="8">
        <f>ROUNDUP(((C4-F7) + ((C4-F7)*D4*48))/48, 0)</f>
        <v>2727</v>
      </c>
    </row>
    <row r="8" spans="1:14" x14ac:dyDescent="0.2">
      <c r="A8" s="164" t="s">
        <v>66</v>
      </c>
      <c r="B8" s="164" t="s">
        <v>67</v>
      </c>
      <c r="C8" s="161">
        <v>59900</v>
      </c>
      <c r="D8" s="165">
        <v>1.35E-2</v>
      </c>
      <c r="E8" s="4">
        <v>0</v>
      </c>
      <c r="F8" s="2">
        <v>1900</v>
      </c>
      <c r="G8" s="161">
        <v>1000</v>
      </c>
      <c r="H8" s="5">
        <f>F8+G8</f>
        <v>2900</v>
      </c>
      <c r="I8" s="5">
        <f>ROUNDUP(((C8-F8) + ((C8-F8)*D8*12))/12, 0)</f>
        <v>5617</v>
      </c>
      <c r="J8" s="5">
        <f>ROUNDUP(((C8-F8) + ((C8-F8)*D8*18))/18, 0)</f>
        <v>4006</v>
      </c>
      <c r="K8" s="5">
        <f>ROUNDUP(((C8-F8) + ((C8-F8)*D8*24))/24, 0)</f>
        <v>3200</v>
      </c>
      <c r="L8" s="5">
        <f>ROUNDUP(((C8-F8) + ((C8-F8)*D8*30))/30, 0)</f>
        <v>2717</v>
      </c>
      <c r="M8" s="5">
        <f>ROUNDUP(((C8-F8) + ((C8-F8)*D8*36))/36, 0)</f>
        <v>2395</v>
      </c>
      <c r="N8" s="6">
        <f>ROUNDUP(((C8-F8) + ((C8-F8)*D8*48))/48, 0)</f>
        <v>1992</v>
      </c>
    </row>
    <row r="9" spans="1:14" x14ac:dyDescent="0.2">
      <c r="A9" s="162"/>
      <c r="B9" s="162"/>
      <c r="C9" s="162"/>
      <c r="D9" s="162"/>
      <c r="E9" s="7">
        <v>0.05</v>
      </c>
      <c r="F9" s="8">
        <f>ROUND(C8*E9, 0)</f>
        <v>2995</v>
      </c>
      <c r="G9" s="162"/>
      <c r="H9" s="8">
        <f>F9+G8</f>
        <v>3995</v>
      </c>
      <c r="I9" s="8">
        <f>ROUNDUP(((C8-F9) + ((C8-F9)*D8*12))/12, 0)</f>
        <v>5511</v>
      </c>
      <c r="J9" s="8">
        <f>ROUNDUP(((C8-F9) + ((C8-F9)*D8*18))/18, 0)</f>
        <v>3930</v>
      </c>
      <c r="K9" s="8">
        <f>ROUNDUP(((C8-F9) + ((C8-F9)*D8*24))/24, 0)</f>
        <v>3140</v>
      </c>
      <c r="L9" s="8">
        <f>ROUNDUP(((C8-F9) + ((C8-F9)*D8*30))/30, 0)</f>
        <v>2666</v>
      </c>
      <c r="M9" s="8">
        <f>ROUNDUP(((C8-F9) + ((C8-F9)*D8*36))/36, 0)</f>
        <v>2349</v>
      </c>
      <c r="N9" s="8">
        <f>ROUNDUP(((C8-F9) + ((C8-F9)*D8*48))/48, 0)</f>
        <v>1954</v>
      </c>
    </row>
    <row r="10" spans="1:14" x14ac:dyDescent="0.2">
      <c r="A10" s="162"/>
      <c r="B10" s="162"/>
      <c r="C10" s="162"/>
      <c r="D10" s="162"/>
      <c r="E10" s="7">
        <v>0.1</v>
      </c>
      <c r="F10" s="8">
        <f>ROUND(C8*E10, 0)</f>
        <v>5990</v>
      </c>
      <c r="G10" s="162"/>
      <c r="H10" s="8">
        <f>F10+G8</f>
        <v>6990</v>
      </c>
      <c r="I10" s="8">
        <f>ROUNDUP(((C8-F10) + ((C8-F10)*D8*12))/12, 0)</f>
        <v>5221</v>
      </c>
      <c r="J10" s="8">
        <f>ROUNDUP(((C8-F10) + ((C8-F10)*D8*18))/18, 0)</f>
        <v>3723</v>
      </c>
      <c r="K10" s="8">
        <f>ROUNDUP(((C8-F10) + ((C8-F10)*D8*24))/24, 0)</f>
        <v>2975</v>
      </c>
      <c r="L10" s="8">
        <f>ROUNDUP(((C8-F10) + ((C8-F10)*D8*30))/30, 0)</f>
        <v>2525</v>
      </c>
      <c r="M10" s="8">
        <f>ROUNDUP(((C8-F10) + ((C8-F10)*D8*36))/36, 0)</f>
        <v>2226</v>
      </c>
      <c r="N10" s="8">
        <f>ROUNDUP(((C8-F10) + ((C8-F10)*D8*48))/48, 0)</f>
        <v>1851</v>
      </c>
    </row>
    <row r="11" spans="1:14" x14ac:dyDescent="0.2">
      <c r="A11" s="163"/>
      <c r="B11" s="163"/>
      <c r="C11" s="163"/>
      <c r="D11" s="163"/>
      <c r="E11" s="7">
        <v>0.15</v>
      </c>
      <c r="F11" s="8">
        <f>ROUND(C8*E11, 0)</f>
        <v>8985</v>
      </c>
      <c r="G11" s="163"/>
      <c r="H11" s="8">
        <f>F11+G8</f>
        <v>9985</v>
      </c>
      <c r="I11" s="8">
        <f>ROUNDUP(((C8-F11) + ((C8-F11)*D8*12))/12, 0)</f>
        <v>4931</v>
      </c>
      <c r="J11" s="8">
        <f>ROUNDUP(((C8-F11) + ((C8-F11)*D8*18))/18, 0)</f>
        <v>3516</v>
      </c>
      <c r="K11" s="8">
        <f>ROUNDUP(((C8-F11) + ((C8-F11)*D8*24))/24, 0)</f>
        <v>2809</v>
      </c>
      <c r="L11" s="8">
        <f>ROUNDUP(((C8-F11) + ((C8-F11)*D8*30))/30, 0)</f>
        <v>2385</v>
      </c>
      <c r="M11" s="8">
        <f>ROUNDUP(((C8-F11) + ((C8-F11)*D8*36))/36, 0)</f>
        <v>2102</v>
      </c>
      <c r="N11" s="8">
        <f>ROUNDUP(((C8-F11) + ((C8-F11)*D8*48))/48, 0)</f>
        <v>1749</v>
      </c>
    </row>
    <row r="12" spans="1:14" x14ac:dyDescent="0.2">
      <c r="A12" s="164" t="s">
        <v>68</v>
      </c>
      <c r="B12" s="164" t="s">
        <v>69</v>
      </c>
      <c r="C12" s="161">
        <v>68900</v>
      </c>
      <c r="D12" s="165">
        <v>1.35E-2</v>
      </c>
      <c r="E12" s="4">
        <v>0</v>
      </c>
      <c r="F12" s="2">
        <v>6900</v>
      </c>
      <c r="G12" s="161">
        <v>1000</v>
      </c>
      <c r="H12" s="5">
        <f>F12+G12</f>
        <v>7900</v>
      </c>
      <c r="I12" s="5">
        <f>ROUNDUP(((C12-F12) + ((C12-F12)*D12*12))/12, 0)</f>
        <v>6004</v>
      </c>
      <c r="J12" s="5">
        <f>ROUNDUP(((C12-F12) + ((C12-F12)*D12*18))/18, 0)</f>
        <v>4282</v>
      </c>
      <c r="K12" s="5">
        <f>ROUNDUP(((C12-F12) + ((C12-F12)*D12*24))/24, 0)</f>
        <v>3421</v>
      </c>
      <c r="L12" s="5">
        <f>ROUNDUP(((C12-F12) + ((C12-F12)*D12*30))/30, 0)</f>
        <v>2904</v>
      </c>
      <c r="M12" s="5">
        <f>ROUNDUP(((C12-F12) + ((C12-F12)*D12*36))/36, 0)</f>
        <v>2560</v>
      </c>
      <c r="N12" s="6">
        <f>ROUNDUP(((C12-F12) + ((C12-F12)*D12*48))/48, 0)</f>
        <v>2129</v>
      </c>
    </row>
    <row r="13" spans="1:14" x14ac:dyDescent="0.2">
      <c r="A13" s="162"/>
      <c r="B13" s="162"/>
      <c r="C13" s="162"/>
      <c r="D13" s="162"/>
      <c r="E13" s="7">
        <v>0.05</v>
      </c>
      <c r="F13" s="8">
        <f>ROUND(C12*E13, 0)</f>
        <v>3445</v>
      </c>
      <c r="G13" s="162"/>
      <c r="H13" s="8">
        <f>F13+G12</f>
        <v>4445</v>
      </c>
      <c r="I13" s="8">
        <f>ROUNDUP(((C12-F13) + ((C12-F13)*D12*12))/12, 0)</f>
        <v>6339</v>
      </c>
      <c r="J13" s="8">
        <f>ROUNDUP(((C12-F13) + ((C12-F13)*D12*18))/18, 0)</f>
        <v>4521</v>
      </c>
      <c r="K13" s="8">
        <f>ROUNDUP(((C12-F13) + ((C12-F13)*D12*24))/24, 0)</f>
        <v>3611</v>
      </c>
      <c r="L13" s="8">
        <f>ROUNDUP(((C12-F13) + ((C12-F13)*D12*30))/30, 0)</f>
        <v>3066</v>
      </c>
      <c r="M13" s="8">
        <f>ROUNDUP(((C12-F13) + ((C12-F13)*D12*36))/36, 0)</f>
        <v>2702</v>
      </c>
      <c r="N13" s="8">
        <f>ROUNDUP(((C12-F13) + ((C12-F13)*D12*48))/48, 0)</f>
        <v>2248</v>
      </c>
    </row>
    <row r="14" spans="1:14" x14ac:dyDescent="0.2">
      <c r="A14" s="162"/>
      <c r="B14" s="162"/>
      <c r="C14" s="162"/>
      <c r="D14" s="162"/>
      <c r="E14" s="7">
        <v>0.1</v>
      </c>
      <c r="F14" s="8">
        <f>ROUND(C12*E14, 0)</f>
        <v>6890</v>
      </c>
      <c r="G14" s="162"/>
      <c r="H14" s="8">
        <f>F14+G12</f>
        <v>7890</v>
      </c>
      <c r="I14" s="8">
        <f>ROUNDUP(((C12-F14) + ((C12-F14)*D12*12))/12, 0)</f>
        <v>6005</v>
      </c>
      <c r="J14" s="8">
        <f>ROUNDUP(((C12-F14) + ((C12-F14)*D12*18))/18, 0)</f>
        <v>4283</v>
      </c>
      <c r="K14" s="8">
        <f>ROUNDUP(((C12-F14) + ((C12-F14)*D12*24))/24, 0)</f>
        <v>3421</v>
      </c>
      <c r="L14" s="8">
        <f>ROUNDUP(((C12-F14) + ((C12-F14)*D12*30))/30, 0)</f>
        <v>2905</v>
      </c>
      <c r="M14" s="8">
        <f>ROUNDUP(((C12-F14) + ((C12-F14)*D12*36))/36, 0)</f>
        <v>2560</v>
      </c>
      <c r="N14" s="8">
        <f>ROUNDUP(((C12-F14) + ((C12-F14)*D12*48))/48, 0)</f>
        <v>2130</v>
      </c>
    </row>
    <row r="15" spans="1:14" x14ac:dyDescent="0.2">
      <c r="A15" s="163"/>
      <c r="B15" s="163"/>
      <c r="C15" s="163"/>
      <c r="D15" s="163"/>
      <c r="E15" s="7">
        <v>0.15</v>
      </c>
      <c r="F15" s="8">
        <f>ROUND(C12*E15, 0)</f>
        <v>10335</v>
      </c>
      <c r="G15" s="163"/>
      <c r="H15" s="8">
        <f>F15+G12</f>
        <v>11335</v>
      </c>
      <c r="I15" s="8">
        <f>ROUNDUP(((C12-F15) + ((C12-F15)*D12*12))/12, 0)</f>
        <v>5672</v>
      </c>
      <c r="J15" s="8">
        <f>ROUNDUP(((C12-F15) + ((C12-F15)*D12*18))/18, 0)</f>
        <v>4045</v>
      </c>
      <c r="K15" s="8">
        <f>ROUNDUP(((C12-F15) + ((C12-F15)*D12*24))/24, 0)</f>
        <v>3231</v>
      </c>
      <c r="L15" s="8">
        <f>ROUNDUP(((C12-F15) + ((C12-F15)*D12*30))/30, 0)</f>
        <v>2743</v>
      </c>
      <c r="M15" s="8">
        <f>ROUNDUP(((C12-F15) + ((C12-F15)*D12*36))/36, 0)</f>
        <v>2418</v>
      </c>
      <c r="N15" s="8">
        <f>ROUNDUP(((C12-F15) + ((C12-F15)*D12*48))/48, 0)</f>
        <v>2011</v>
      </c>
    </row>
    <row r="16" spans="1:14" x14ac:dyDescent="0.2">
      <c r="A16" s="164" t="s">
        <v>70</v>
      </c>
      <c r="B16" s="164" t="s">
        <v>71</v>
      </c>
      <c r="C16" s="161">
        <v>123500</v>
      </c>
      <c r="D16" s="165">
        <v>9.0000000000000011E-3</v>
      </c>
      <c r="E16" s="4">
        <v>0</v>
      </c>
      <c r="F16" s="2">
        <v>52500</v>
      </c>
      <c r="G16" s="161">
        <v>2000</v>
      </c>
      <c r="H16" s="5">
        <f>F16+G16</f>
        <v>54500</v>
      </c>
      <c r="I16" s="5">
        <f>ROUNDUP(((C16-F16) + ((C16-F16)*D16*12))/12, 0)</f>
        <v>6556</v>
      </c>
      <c r="J16" s="5">
        <f>ROUNDUP(((C16-F16) + ((C16-F16)*D16*18))/18, 0)</f>
        <v>4584</v>
      </c>
      <c r="K16" s="5">
        <f>ROUNDUP(((C16-F16) + ((C16-F16)*D16*24))/24, 0)</f>
        <v>3598</v>
      </c>
      <c r="L16" s="5">
        <f>ROUNDUP(((C16-F16) + ((C16-F16)*D16*30))/30, 0)</f>
        <v>3006</v>
      </c>
      <c r="M16" s="5">
        <f>ROUNDUP(((C16-F16) + ((C16-F16)*D16*36))/36, 0)</f>
        <v>2612</v>
      </c>
      <c r="N16" s="6">
        <f>ROUNDUP(((C16-F16) + ((C16-F16)*D16*48))/48, 0)</f>
        <v>2119</v>
      </c>
    </row>
    <row r="17" spans="1:14" x14ac:dyDescent="0.2">
      <c r="A17" s="162"/>
      <c r="B17" s="162"/>
      <c r="C17" s="162"/>
      <c r="D17" s="162"/>
      <c r="E17" s="7">
        <v>0.05</v>
      </c>
      <c r="F17" s="8">
        <f>ROUND(C16*E17, 0)</f>
        <v>6175</v>
      </c>
      <c r="G17" s="162"/>
      <c r="H17" s="8">
        <f>F17+G16</f>
        <v>8175</v>
      </c>
      <c r="I17" s="8">
        <f>ROUNDUP(((C16-F17) + ((C16-F17)*D16*12))/12, 0)</f>
        <v>10834</v>
      </c>
      <c r="J17" s="8">
        <f>ROUNDUP(((C16-F17) + ((C16-F17)*D16*18))/18, 0)</f>
        <v>7574</v>
      </c>
      <c r="K17" s="8">
        <f>ROUNDUP(((C16-F17) + ((C16-F17)*D16*24))/24, 0)</f>
        <v>5945</v>
      </c>
      <c r="L17" s="8">
        <f>ROUNDUP(((C16-F17) + ((C16-F17)*D16*30))/30, 0)</f>
        <v>4967</v>
      </c>
      <c r="M17" s="8">
        <f>ROUNDUP(((C16-F17) + ((C16-F17)*D16*36))/36, 0)</f>
        <v>4315</v>
      </c>
      <c r="N17" s="8">
        <f>ROUNDUP(((C16-F17) + ((C16-F17)*D16*48))/48, 0)</f>
        <v>3501</v>
      </c>
    </row>
    <row r="18" spans="1:14" x14ac:dyDescent="0.2">
      <c r="A18" s="162"/>
      <c r="B18" s="162"/>
      <c r="C18" s="162"/>
      <c r="D18" s="162"/>
      <c r="E18" s="7">
        <v>0.1</v>
      </c>
      <c r="F18" s="8">
        <f>ROUND(C16*E18, 0)</f>
        <v>12350</v>
      </c>
      <c r="G18" s="162"/>
      <c r="H18" s="8">
        <f>F18+G16</f>
        <v>14350</v>
      </c>
      <c r="I18" s="8">
        <f>ROUNDUP(((C16-F18) + ((C16-F18)*D16*12))/12, 0)</f>
        <v>10263</v>
      </c>
      <c r="J18" s="8">
        <f>ROUNDUP(((C16-F18) + ((C16-F18)*D16*18))/18, 0)</f>
        <v>7176</v>
      </c>
      <c r="K18" s="8">
        <f>ROUNDUP(((C16-F18) + ((C16-F18)*D16*24))/24, 0)</f>
        <v>5632</v>
      </c>
      <c r="L18" s="8">
        <f>ROUNDUP(((C16-F18) + ((C16-F18)*D16*30))/30, 0)</f>
        <v>4706</v>
      </c>
      <c r="M18" s="8">
        <f>ROUNDUP(((C16-F18) + ((C16-F18)*D16*36))/36, 0)</f>
        <v>4088</v>
      </c>
      <c r="N18" s="8">
        <f>ROUNDUP(((C16-F18) + ((C16-F18)*D16*48))/48, 0)</f>
        <v>3316</v>
      </c>
    </row>
    <row r="19" spans="1:14" x14ac:dyDescent="0.2">
      <c r="A19" s="163"/>
      <c r="B19" s="163"/>
      <c r="C19" s="163"/>
      <c r="D19" s="163"/>
      <c r="E19" s="7">
        <v>0.15</v>
      </c>
      <c r="F19" s="8">
        <f>ROUND(C16*E19, 0)</f>
        <v>18525</v>
      </c>
      <c r="G19" s="163"/>
      <c r="H19" s="8">
        <f>F19+G16</f>
        <v>20525</v>
      </c>
      <c r="I19" s="8">
        <f>ROUNDUP(((C16-F19) + ((C16-F19)*D16*12))/12, 0)</f>
        <v>9693</v>
      </c>
      <c r="J19" s="8">
        <f>ROUNDUP(((C16-F19) + ((C16-F19)*D16*18))/18, 0)</f>
        <v>6777</v>
      </c>
      <c r="K19" s="8">
        <f>ROUNDUP(((C16-F19) + ((C16-F19)*D16*24))/24, 0)</f>
        <v>5319</v>
      </c>
      <c r="L19" s="8">
        <f>ROUNDUP(((C16-F19) + ((C16-F19)*D16*30))/30, 0)</f>
        <v>4444</v>
      </c>
      <c r="M19" s="8">
        <f>ROUNDUP(((C16-F19) + ((C16-F19)*D16*36))/36, 0)</f>
        <v>3861</v>
      </c>
      <c r="N19" s="8">
        <f>ROUNDUP(((C16-F19) + ((C16-F19)*D16*48))/48, 0)</f>
        <v>3132</v>
      </c>
    </row>
    <row r="21" spans="1:14" x14ac:dyDescent="0.2">
      <c r="A21" s="169" t="s">
        <v>51</v>
      </c>
      <c r="B21" s="168"/>
      <c r="C21" s="168"/>
      <c r="D21" s="168"/>
      <c r="E21" s="168"/>
      <c r="F21" s="168"/>
      <c r="G21" s="168"/>
      <c r="H21" s="168"/>
      <c r="I21" s="168"/>
      <c r="J21" s="168"/>
      <c r="K21" s="168"/>
      <c r="L21" s="168"/>
      <c r="M21" s="168"/>
      <c r="N21" s="168"/>
    </row>
  </sheetData>
  <mergeCells count="31">
    <mergeCell ref="I2:N2"/>
    <mergeCell ref="B4:B7"/>
    <mergeCell ref="G16:G19"/>
    <mergeCell ref="G12:G15"/>
    <mergeCell ref="G2:G3"/>
    <mergeCell ref="H2:H3"/>
    <mergeCell ref="B2:B3"/>
    <mergeCell ref="D2:D3"/>
    <mergeCell ref="F2:F3"/>
    <mergeCell ref="A21:N21"/>
    <mergeCell ref="G4:G7"/>
    <mergeCell ref="A4:A7"/>
    <mergeCell ref="B16:B19"/>
    <mergeCell ref="D8:D11"/>
    <mergeCell ref="A16:A19"/>
    <mergeCell ref="A1:N1"/>
    <mergeCell ref="C4:C7"/>
    <mergeCell ref="B8:B11"/>
    <mergeCell ref="A12:A15"/>
    <mergeCell ref="C16:C19"/>
    <mergeCell ref="C12:C15"/>
    <mergeCell ref="D16:D19"/>
    <mergeCell ref="A2:A3"/>
    <mergeCell ref="C2:C3"/>
    <mergeCell ref="E2:E3"/>
    <mergeCell ref="D4:D7"/>
    <mergeCell ref="A8:A11"/>
    <mergeCell ref="C8:C11"/>
    <mergeCell ref="D12:D15"/>
    <mergeCell ref="G8:G11"/>
    <mergeCell ref="B12:B15"/>
  </mergeCells>
  <pageMargins left="0.25" right="0.25" top="0.5" bottom="0.5" header="0.5" footer="0.5"/>
  <pageSetup paperSize="9"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A11AE-EE01-4F6E-8AB2-59ACF6743C4F}">
  <sheetPr>
    <pageSetUpPr fitToPage="1"/>
  </sheetPr>
  <dimension ref="A1:L21"/>
  <sheetViews>
    <sheetView workbookViewId="0">
      <pane ySplit="3" topLeftCell="A4" activePane="bottomLeft" state="frozen"/>
      <selection sqref="A1:L1"/>
      <selection pane="bottomLeft" activeCell="F12" sqref="F12:F15"/>
    </sheetView>
  </sheetViews>
  <sheetFormatPr defaultRowHeight="14.25" x14ac:dyDescent="0.2"/>
  <cols>
    <col min="1" max="1" width="25" customWidth="1"/>
    <col min="2" max="2" width="18" customWidth="1"/>
    <col min="3" max="6" width="10" customWidth="1"/>
    <col min="7" max="7" width="11" customWidth="1"/>
    <col min="8" max="11" width="9" customWidth="1"/>
    <col min="12" max="12" width="12" customWidth="1"/>
  </cols>
  <sheetData>
    <row r="1" spans="1:12" ht="30" customHeight="1" x14ac:dyDescent="0.2">
      <c r="A1" s="167" t="s">
        <v>72</v>
      </c>
      <c r="B1" s="168"/>
      <c r="C1" s="168"/>
      <c r="D1" s="168"/>
      <c r="E1" s="168"/>
      <c r="F1" s="168"/>
      <c r="G1" s="168"/>
      <c r="H1" s="168"/>
      <c r="I1" s="168"/>
      <c r="J1" s="168"/>
      <c r="K1" s="168"/>
      <c r="L1" s="168"/>
    </row>
    <row r="2" spans="1:12" x14ac:dyDescent="0.2">
      <c r="A2" s="166" t="s">
        <v>1</v>
      </c>
      <c r="B2" s="166" t="s">
        <v>73</v>
      </c>
      <c r="C2" s="166" t="s">
        <v>3</v>
      </c>
      <c r="D2" s="166" t="s">
        <v>4</v>
      </c>
      <c r="E2" s="166" t="s">
        <v>74</v>
      </c>
      <c r="F2" s="166" t="s">
        <v>7</v>
      </c>
      <c r="G2" s="166" t="s">
        <v>8</v>
      </c>
      <c r="H2" s="166" t="s">
        <v>9</v>
      </c>
      <c r="I2" s="166"/>
      <c r="J2" s="166"/>
      <c r="K2" s="166"/>
      <c r="L2" s="166"/>
    </row>
    <row r="3" spans="1:12" x14ac:dyDescent="0.2">
      <c r="A3" s="166"/>
      <c r="B3" s="166"/>
      <c r="C3" s="166"/>
      <c r="D3" s="166"/>
      <c r="E3" s="166"/>
      <c r="F3" s="166"/>
      <c r="G3" s="166"/>
      <c r="H3" s="1" t="s">
        <v>75</v>
      </c>
      <c r="I3" s="1" t="s">
        <v>76</v>
      </c>
      <c r="J3" s="1" t="s">
        <v>77</v>
      </c>
      <c r="K3" s="1" t="s">
        <v>78</v>
      </c>
      <c r="L3" s="166"/>
    </row>
    <row r="4" spans="1:12" x14ac:dyDescent="0.2">
      <c r="A4" s="172" t="s">
        <v>79</v>
      </c>
      <c r="B4" s="172" t="s">
        <v>80</v>
      </c>
      <c r="C4" s="161">
        <v>63500</v>
      </c>
      <c r="D4" s="165">
        <v>1.7000000000000001E-2</v>
      </c>
      <c r="E4" s="2">
        <v>6900</v>
      </c>
      <c r="F4" s="161">
        <v>2000</v>
      </c>
      <c r="G4" s="10">
        <f>E4+F4</f>
        <v>8900</v>
      </c>
      <c r="H4" s="10">
        <f>ROUNDUP(((C4-E4) + ((C4-E4)*D4*12))/12, 0)</f>
        <v>5679</v>
      </c>
      <c r="I4" s="10">
        <f>ROUNDUP(((C4-E4) + ((C4-E4)*D4*24))/24, 0)</f>
        <v>3321</v>
      </c>
      <c r="J4" s="10">
        <f>ROUNDUP(((C4-E4) + ((C4-E4)*D4*36))/36, 0)</f>
        <v>2535</v>
      </c>
      <c r="K4" s="10">
        <f>ROUNDUP(((C4-E4) + ((C4-E4)*D4*48))/48, 0)</f>
        <v>2142</v>
      </c>
      <c r="L4" s="172"/>
    </row>
    <row r="5" spans="1:12" x14ac:dyDescent="0.2">
      <c r="A5" s="162"/>
      <c r="B5" s="162"/>
      <c r="C5" s="162"/>
      <c r="D5" s="162"/>
      <c r="E5" s="2">
        <v>7900</v>
      </c>
      <c r="F5" s="162"/>
      <c r="G5" s="10">
        <f>E5+F4</f>
        <v>9900</v>
      </c>
      <c r="H5" s="10">
        <f>ROUNDUP(((C4-E5) + ((C4-E5)*D4*12))/12, 0)</f>
        <v>5579</v>
      </c>
      <c r="I5" s="10">
        <f>ROUNDUP(((C4-E5) + ((C4-E5)*D4*24))/24, 0)</f>
        <v>3262</v>
      </c>
      <c r="J5" s="10">
        <f>ROUNDUP(((C4-E5) + ((C4-E5)*D4*36))/36, 0)</f>
        <v>2490</v>
      </c>
      <c r="K5" s="10">
        <f>ROUNDUP(((C4-E5) + ((C4-E5)*D4*48))/48, 0)</f>
        <v>2104</v>
      </c>
      <c r="L5" s="162"/>
    </row>
    <row r="6" spans="1:12" x14ac:dyDescent="0.2">
      <c r="A6" s="162"/>
      <c r="B6" s="162"/>
      <c r="C6" s="162"/>
      <c r="D6" s="162"/>
      <c r="E6" s="2">
        <v>8900</v>
      </c>
      <c r="F6" s="162"/>
      <c r="G6" s="10">
        <f>E6+F4</f>
        <v>10900</v>
      </c>
      <c r="H6" s="10">
        <f>ROUNDUP(((C4-E6) + ((C4-E6)*D4*12))/12, 0)</f>
        <v>5479</v>
      </c>
      <c r="I6" s="10">
        <f>ROUNDUP(((C4-E6) + ((C4-E6)*D4*24))/24, 0)</f>
        <v>3204</v>
      </c>
      <c r="J6" s="10">
        <f>ROUNDUP(((C4-E6) + ((C4-E6)*D4*36))/36, 0)</f>
        <v>2445</v>
      </c>
      <c r="K6" s="10">
        <f>ROUNDUP(((C4-E6) + ((C4-E6)*D4*48))/48, 0)</f>
        <v>2066</v>
      </c>
      <c r="L6" s="162"/>
    </row>
    <row r="7" spans="1:12" x14ac:dyDescent="0.2">
      <c r="A7" s="163"/>
      <c r="B7" s="163"/>
      <c r="C7" s="163"/>
      <c r="D7" s="163"/>
      <c r="E7" s="2">
        <v>9900</v>
      </c>
      <c r="F7" s="163"/>
      <c r="G7" s="10">
        <f>E7+F4</f>
        <v>11900</v>
      </c>
      <c r="H7" s="10">
        <f>ROUNDUP(((C4-E7) + ((C4-E7)*D4*12))/12, 0)</f>
        <v>5378</v>
      </c>
      <c r="I7" s="10">
        <f>ROUNDUP(((C4-E7) + ((C4-E7)*D4*24))/24, 0)</f>
        <v>3145</v>
      </c>
      <c r="J7" s="10">
        <f>ROUNDUP(((C4-E7) + ((C4-E7)*D4*36))/36, 0)</f>
        <v>2401</v>
      </c>
      <c r="K7" s="10">
        <f>ROUNDUP(((C4-E7) + ((C4-E7)*D4*48))/48, 0)</f>
        <v>2028</v>
      </c>
      <c r="L7" s="163"/>
    </row>
    <row r="8" spans="1:12" x14ac:dyDescent="0.2">
      <c r="A8" s="172" t="s">
        <v>81</v>
      </c>
      <c r="B8" s="172" t="s">
        <v>82</v>
      </c>
      <c r="C8" s="161">
        <v>54000</v>
      </c>
      <c r="D8" s="165">
        <v>1.7000000000000001E-2</v>
      </c>
      <c r="E8" s="2">
        <v>3900</v>
      </c>
      <c r="F8" s="161">
        <v>2000</v>
      </c>
      <c r="G8" s="8">
        <f>E8+F8</f>
        <v>5900</v>
      </c>
      <c r="H8" s="8">
        <f>ROUNDUP(((C8-E8) + ((C8-E8)*D8*12))/12, 0)</f>
        <v>5027</v>
      </c>
      <c r="I8" s="8">
        <f>ROUNDUP(((C8-E8) + ((C8-E8)*D8*24))/24, 0)</f>
        <v>2940</v>
      </c>
      <c r="J8" s="8">
        <f>ROUNDUP(((C8-E8) + ((C8-E8)*D8*36))/36, 0)</f>
        <v>2244</v>
      </c>
      <c r="K8" s="8">
        <f>ROUNDUP(((C8-E8) + ((C8-E8)*D8*48))/48, 0)</f>
        <v>1896</v>
      </c>
      <c r="L8" s="172"/>
    </row>
    <row r="9" spans="1:12" x14ac:dyDescent="0.2">
      <c r="A9" s="162"/>
      <c r="B9" s="162"/>
      <c r="C9" s="162"/>
      <c r="D9" s="162"/>
      <c r="E9" s="2">
        <v>4900</v>
      </c>
      <c r="F9" s="162"/>
      <c r="G9" s="8">
        <f>E9+F8</f>
        <v>6900</v>
      </c>
      <c r="H9" s="8">
        <f>ROUNDUP(((C8-E9) + ((C8-E9)*D8*12))/12, 0)</f>
        <v>4927</v>
      </c>
      <c r="I9" s="8">
        <f>ROUNDUP(((C8-E9) + ((C8-E9)*D8*24))/24, 0)</f>
        <v>2881</v>
      </c>
      <c r="J9" s="8">
        <f>ROUNDUP(((C8-E9) + ((C8-E9)*D8*36))/36, 0)</f>
        <v>2199</v>
      </c>
      <c r="K9" s="8">
        <f>ROUNDUP(((C8-E9) + ((C8-E9)*D8*48))/48, 0)</f>
        <v>1858</v>
      </c>
      <c r="L9" s="162"/>
    </row>
    <row r="10" spans="1:12" x14ac:dyDescent="0.2">
      <c r="A10" s="162"/>
      <c r="B10" s="162"/>
      <c r="C10" s="162"/>
      <c r="D10" s="162"/>
      <c r="E10" s="2">
        <v>5900</v>
      </c>
      <c r="F10" s="162"/>
      <c r="G10" s="8">
        <f>E10+F8</f>
        <v>7900</v>
      </c>
      <c r="H10" s="8">
        <f>ROUNDUP(((C8-E10) + ((C8-E10)*D8*12))/12, 0)</f>
        <v>4827</v>
      </c>
      <c r="I10" s="8">
        <f>ROUNDUP(((C8-E10) + ((C8-E10)*D8*24))/24, 0)</f>
        <v>2822</v>
      </c>
      <c r="J10" s="8">
        <f>ROUNDUP(((C8-E10) + ((C8-E10)*D8*36))/36, 0)</f>
        <v>2154</v>
      </c>
      <c r="K10" s="8">
        <f>ROUNDUP(((C8-E10) + ((C8-E10)*D8*48))/48, 0)</f>
        <v>1820</v>
      </c>
      <c r="L10" s="162"/>
    </row>
    <row r="11" spans="1:12" x14ac:dyDescent="0.2">
      <c r="A11" s="163"/>
      <c r="B11" s="163"/>
      <c r="C11" s="163"/>
      <c r="D11" s="163"/>
      <c r="E11" s="2">
        <v>6900</v>
      </c>
      <c r="F11" s="163"/>
      <c r="G11" s="8">
        <f>E11+F8</f>
        <v>8900</v>
      </c>
      <c r="H11" s="8">
        <f>ROUNDUP(((C8-E11) + ((C8-E11)*D8*12))/12, 0)</f>
        <v>4726</v>
      </c>
      <c r="I11" s="8">
        <f>ROUNDUP(((C8-E11) + ((C8-E11)*D8*24))/24, 0)</f>
        <v>2764</v>
      </c>
      <c r="J11" s="8">
        <f>ROUNDUP(((C8-E11) + ((C8-E11)*D8*36))/36, 0)</f>
        <v>2110</v>
      </c>
      <c r="K11" s="8">
        <f>ROUNDUP(((C8-E11) + ((C8-E11)*D8*48))/48, 0)</f>
        <v>1782</v>
      </c>
      <c r="L11" s="163"/>
    </row>
    <row r="12" spans="1:12" x14ac:dyDescent="0.2">
      <c r="A12" s="172" t="s">
        <v>83</v>
      </c>
      <c r="B12" s="172" t="s">
        <v>84</v>
      </c>
      <c r="C12" s="161">
        <v>85500</v>
      </c>
      <c r="D12" s="165">
        <v>1.7000000000000001E-2</v>
      </c>
      <c r="E12" s="2">
        <v>6900</v>
      </c>
      <c r="F12" s="161">
        <v>2000</v>
      </c>
      <c r="G12" s="10">
        <f>E12+F12</f>
        <v>8900</v>
      </c>
      <c r="H12" s="10">
        <f>ROUNDUP(((C12-E12) + ((C12-E12)*D12*12))/12, 0)</f>
        <v>7887</v>
      </c>
      <c r="I12" s="10">
        <f>ROUNDUP(((C12-E12) + ((C12-E12)*D12*24))/24, 0)</f>
        <v>4612</v>
      </c>
      <c r="J12" s="10">
        <f>ROUNDUP(((C12-E12) + ((C12-E12)*D12*36))/36, 0)</f>
        <v>3520</v>
      </c>
      <c r="K12" s="10">
        <f>ROUNDUP(((C12-E12) + ((C12-E12)*D12*48))/48, 0)</f>
        <v>2974</v>
      </c>
      <c r="L12" s="172"/>
    </row>
    <row r="13" spans="1:12" x14ac:dyDescent="0.2">
      <c r="A13" s="162"/>
      <c r="B13" s="162"/>
      <c r="C13" s="162"/>
      <c r="D13" s="162"/>
      <c r="E13" s="2">
        <v>7900</v>
      </c>
      <c r="F13" s="162"/>
      <c r="G13" s="10">
        <f>E13+F12</f>
        <v>9900</v>
      </c>
      <c r="H13" s="10">
        <f>ROUNDUP(((C12-E13) + ((C12-E13)*D12*12))/12, 0)</f>
        <v>7786</v>
      </c>
      <c r="I13" s="10">
        <f>ROUNDUP(((C12-E13) + ((C12-E13)*D12*24))/24, 0)</f>
        <v>4553</v>
      </c>
      <c r="J13" s="10">
        <f>ROUNDUP(((C12-E13) + ((C12-E13)*D12*36))/36, 0)</f>
        <v>3475</v>
      </c>
      <c r="K13" s="10">
        <f>ROUNDUP(((C12-E13) + ((C12-E13)*D12*48))/48, 0)</f>
        <v>2936</v>
      </c>
      <c r="L13" s="162"/>
    </row>
    <row r="14" spans="1:12" x14ac:dyDescent="0.2">
      <c r="A14" s="162"/>
      <c r="B14" s="162"/>
      <c r="C14" s="162"/>
      <c r="D14" s="162"/>
      <c r="E14" s="2">
        <v>8900</v>
      </c>
      <c r="F14" s="162"/>
      <c r="G14" s="10">
        <f>E14+F12</f>
        <v>10900</v>
      </c>
      <c r="H14" s="10">
        <f>ROUNDUP(((C12-E14) + ((C12-E14)*D12*12))/12, 0)</f>
        <v>7686</v>
      </c>
      <c r="I14" s="10">
        <f>ROUNDUP(((C12-E14) + ((C12-E14)*D12*24))/24, 0)</f>
        <v>4494</v>
      </c>
      <c r="J14" s="10">
        <f>ROUNDUP(((C12-E14) + ((C12-E14)*D12*36))/36, 0)</f>
        <v>3430</v>
      </c>
      <c r="K14" s="10">
        <f>ROUNDUP(((C12-E14) + ((C12-E14)*D12*48))/48, 0)</f>
        <v>2899</v>
      </c>
      <c r="L14" s="162"/>
    </row>
    <row r="15" spans="1:12" x14ac:dyDescent="0.2">
      <c r="A15" s="163"/>
      <c r="B15" s="163"/>
      <c r="C15" s="163"/>
      <c r="D15" s="163"/>
      <c r="E15" s="2">
        <v>10900</v>
      </c>
      <c r="F15" s="163"/>
      <c r="G15" s="10">
        <f>E15+F12</f>
        <v>12900</v>
      </c>
      <c r="H15" s="10">
        <f>ROUNDUP(((C12-E15) + ((C12-E15)*D12*12))/12, 0)</f>
        <v>7485</v>
      </c>
      <c r="I15" s="10">
        <f>ROUNDUP(((C12-E15) + ((C12-E15)*D12*24))/24, 0)</f>
        <v>4377</v>
      </c>
      <c r="J15" s="10">
        <f>ROUNDUP(((C12-E15) + ((C12-E15)*D12*36))/36, 0)</f>
        <v>3341</v>
      </c>
      <c r="K15" s="10">
        <f>ROUNDUP(((C12-E15) + ((C12-E15)*D12*48))/48, 0)</f>
        <v>2823</v>
      </c>
      <c r="L15" s="163"/>
    </row>
    <row r="16" spans="1:12" x14ac:dyDescent="0.2">
      <c r="A16" s="172" t="s">
        <v>85</v>
      </c>
      <c r="B16" s="172" t="s">
        <v>86</v>
      </c>
      <c r="C16" s="161">
        <v>55500</v>
      </c>
      <c r="D16" s="165">
        <v>1.7000000000000001E-2</v>
      </c>
      <c r="E16" s="2">
        <v>3900</v>
      </c>
      <c r="F16" s="161">
        <v>2000</v>
      </c>
      <c r="G16" s="8">
        <f>E16+F16</f>
        <v>5900</v>
      </c>
      <c r="H16" s="8">
        <f>ROUNDUP(((C16-E16) + ((C16-E16)*D16*12))/12, 0)</f>
        <v>5178</v>
      </c>
      <c r="I16" s="8">
        <f>ROUNDUP(((C16-E16) + ((C16-E16)*D16*24))/24, 0)</f>
        <v>3028</v>
      </c>
      <c r="J16" s="8">
        <f>ROUNDUP(((C16-E16) + ((C16-E16)*D16*36))/36, 0)</f>
        <v>2311</v>
      </c>
      <c r="K16" s="8">
        <f>ROUNDUP(((C16-E16) + ((C16-E16)*D16*48))/48, 0)</f>
        <v>1953</v>
      </c>
      <c r="L16" s="172"/>
    </row>
    <row r="17" spans="1:12" x14ac:dyDescent="0.2">
      <c r="A17" s="162"/>
      <c r="B17" s="162"/>
      <c r="C17" s="162"/>
      <c r="D17" s="162"/>
      <c r="E17" s="2">
        <v>4900</v>
      </c>
      <c r="F17" s="162"/>
      <c r="G17" s="8">
        <f>E17+F16</f>
        <v>6900</v>
      </c>
      <c r="H17" s="8">
        <f>ROUNDUP(((C16-E17) + ((C16-E17)*D16*12))/12, 0)</f>
        <v>5077</v>
      </c>
      <c r="I17" s="8">
        <f>ROUNDUP(((C16-E17) + ((C16-E17)*D16*24))/24, 0)</f>
        <v>2969</v>
      </c>
      <c r="J17" s="8">
        <f>ROUNDUP(((C16-E17) + ((C16-E17)*D16*36))/36, 0)</f>
        <v>2266</v>
      </c>
      <c r="K17" s="8">
        <f>ROUNDUP(((C16-E17) + ((C16-E17)*D16*48))/48, 0)</f>
        <v>1915</v>
      </c>
      <c r="L17" s="162"/>
    </row>
    <row r="18" spans="1:12" x14ac:dyDescent="0.2">
      <c r="A18" s="162"/>
      <c r="B18" s="162"/>
      <c r="C18" s="162"/>
      <c r="D18" s="162"/>
      <c r="E18" s="2">
        <v>5900</v>
      </c>
      <c r="F18" s="162"/>
      <c r="G18" s="8">
        <f>E18+F16</f>
        <v>7900</v>
      </c>
      <c r="H18" s="8">
        <f>ROUNDUP(((C16-E18) + ((C16-E18)*D16*12))/12, 0)</f>
        <v>4977</v>
      </c>
      <c r="I18" s="8">
        <f>ROUNDUP(((C16-E18) + ((C16-E18)*D16*24))/24, 0)</f>
        <v>2910</v>
      </c>
      <c r="J18" s="8">
        <f>ROUNDUP(((C16-E18) + ((C16-E18)*D16*36))/36, 0)</f>
        <v>2221</v>
      </c>
      <c r="K18" s="8">
        <f>ROUNDUP(((C16-E18) + ((C16-E18)*D16*48))/48, 0)</f>
        <v>1877</v>
      </c>
      <c r="L18" s="162"/>
    </row>
    <row r="19" spans="1:12" x14ac:dyDescent="0.2">
      <c r="A19" s="163"/>
      <c r="B19" s="163"/>
      <c r="C19" s="163"/>
      <c r="D19" s="163"/>
      <c r="E19" s="2">
        <v>7900</v>
      </c>
      <c r="F19" s="163"/>
      <c r="G19" s="8">
        <f>E19+F16</f>
        <v>9900</v>
      </c>
      <c r="H19" s="8">
        <f>ROUNDUP(((C16-E19) + ((C16-E19)*D16*12))/12, 0)</f>
        <v>4776</v>
      </c>
      <c r="I19" s="8">
        <f>ROUNDUP(((C16-E19) + ((C16-E19)*D16*24))/24, 0)</f>
        <v>2793</v>
      </c>
      <c r="J19" s="8">
        <f>ROUNDUP(((C16-E19) + ((C16-E19)*D16*36))/36, 0)</f>
        <v>2132</v>
      </c>
      <c r="K19" s="8">
        <f>ROUNDUP(((C16-E19) + ((C16-E19)*D16*48))/48, 0)</f>
        <v>1801</v>
      </c>
      <c r="L19" s="163"/>
    </row>
    <row r="21" spans="1:12" x14ac:dyDescent="0.2">
      <c r="A21" s="173" t="s">
        <v>87</v>
      </c>
      <c r="B21" s="168"/>
      <c r="C21" s="168"/>
      <c r="D21" s="168"/>
      <c r="E21" s="168"/>
      <c r="F21" s="168"/>
      <c r="G21" s="168"/>
      <c r="H21" s="168"/>
      <c r="I21" s="168"/>
      <c r="J21" s="168"/>
      <c r="K21" s="168"/>
      <c r="L21" s="168"/>
    </row>
  </sheetData>
  <mergeCells count="35">
    <mergeCell ref="A21:L21"/>
    <mergeCell ref="A16:A19"/>
    <mergeCell ref="B16:B19"/>
    <mergeCell ref="C16:C19"/>
    <mergeCell ref="D16:D19"/>
    <mergeCell ref="F16:F19"/>
    <mergeCell ref="L16:L19"/>
    <mergeCell ref="L12:L15"/>
    <mergeCell ref="A8:A11"/>
    <mergeCell ref="B8:B11"/>
    <mergeCell ref="C8:C11"/>
    <mergeCell ref="D8:D11"/>
    <mergeCell ref="F8:F11"/>
    <mergeCell ref="L8:L11"/>
    <mergeCell ref="A12:A15"/>
    <mergeCell ref="B12:B15"/>
    <mergeCell ref="C12:C15"/>
    <mergeCell ref="D12:D15"/>
    <mergeCell ref="F12:F15"/>
    <mergeCell ref="L4:L7"/>
    <mergeCell ref="A1:L1"/>
    <mergeCell ref="A2:A3"/>
    <mergeCell ref="B2:B3"/>
    <mergeCell ref="C2:C3"/>
    <mergeCell ref="D2:D3"/>
    <mergeCell ref="E2:E3"/>
    <mergeCell ref="F2:F3"/>
    <mergeCell ref="G2:G3"/>
    <mergeCell ref="H2:K2"/>
    <mergeCell ref="L2:L3"/>
    <mergeCell ref="A4:A7"/>
    <mergeCell ref="B4:B7"/>
    <mergeCell ref="C4:C7"/>
    <mergeCell ref="D4:D7"/>
    <mergeCell ref="F4:F7"/>
  </mergeCells>
  <pageMargins left="0.25" right="0.25" top="0.5" bottom="0.5" header="0.5" footer="0.5"/>
  <pageSetup paperSize="9"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6D96D-DA0B-4E45-869C-DB24D204BD3B}">
  <sheetPr>
    <pageSetUpPr fitToPage="1"/>
  </sheetPr>
  <dimension ref="A1:L30"/>
  <sheetViews>
    <sheetView workbookViewId="0">
      <pane ySplit="3" topLeftCell="A4" activePane="bottomLeft" state="frozen"/>
      <selection sqref="A1:L1"/>
      <selection pane="bottomLeft" activeCell="O8" sqref="O8"/>
    </sheetView>
  </sheetViews>
  <sheetFormatPr defaultRowHeight="14.25" x14ac:dyDescent="0.2"/>
  <cols>
    <col min="1" max="1" width="14.5" bestFit="1" customWidth="1"/>
    <col min="2" max="2" width="11.25" bestFit="1" customWidth="1"/>
    <col min="3" max="3" width="7.75" bestFit="1" customWidth="1"/>
    <col min="4" max="6" width="10" customWidth="1"/>
    <col min="7" max="7" width="11" customWidth="1"/>
    <col min="8" max="11" width="9" customWidth="1"/>
    <col min="12" max="12" width="14" customWidth="1"/>
  </cols>
  <sheetData>
    <row r="1" spans="1:12" ht="30" customHeight="1" x14ac:dyDescent="0.2">
      <c r="A1" s="167" t="s">
        <v>88</v>
      </c>
      <c r="B1" s="168"/>
      <c r="C1" s="168"/>
      <c r="D1" s="168"/>
      <c r="E1" s="168"/>
      <c r="F1" s="168"/>
      <c r="G1" s="168"/>
      <c r="H1" s="168"/>
      <c r="I1" s="168"/>
      <c r="J1" s="168"/>
      <c r="K1" s="168"/>
      <c r="L1" s="168"/>
    </row>
    <row r="2" spans="1:12" x14ac:dyDescent="0.2">
      <c r="A2" s="166" t="s">
        <v>89</v>
      </c>
      <c r="B2" s="166" t="s">
        <v>90</v>
      </c>
      <c r="C2" s="166" t="s">
        <v>3</v>
      </c>
      <c r="D2" s="166" t="s">
        <v>4</v>
      </c>
      <c r="E2" s="166" t="s">
        <v>74</v>
      </c>
      <c r="F2" s="166" t="s">
        <v>7</v>
      </c>
      <c r="G2" s="166" t="s">
        <v>8</v>
      </c>
      <c r="H2" s="166" t="s">
        <v>9</v>
      </c>
      <c r="I2" s="166"/>
      <c r="J2" s="166"/>
      <c r="K2" s="166"/>
      <c r="L2" s="166"/>
    </row>
    <row r="3" spans="1:12" x14ac:dyDescent="0.2">
      <c r="A3" s="166"/>
      <c r="B3" s="166"/>
      <c r="C3" s="166"/>
      <c r="D3" s="166"/>
      <c r="E3" s="166"/>
      <c r="F3" s="166"/>
      <c r="G3" s="166"/>
      <c r="H3" s="1" t="s">
        <v>75</v>
      </c>
      <c r="I3" s="1" t="s">
        <v>76</v>
      </c>
      <c r="J3" s="1" t="s">
        <v>77</v>
      </c>
      <c r="K3" s="1" t="s">
        <v>91</v>
      </c>
      <c r="L3" s="166"/>
    </row>
    <row r="4" spans="1:12" ht="28.5" x14ac:dyDescent="0.2">
      <c r="A4" s="11" t="s">
        <v>92</v>
      </c>
      <c r="B4" s="11" t="s">
        <v>93</v>
      </c>
      <c r="C4" s="2">
        <v>15500</v>
      </c>
      <c r="D4" s="3">
        <v>1.7000000000000001E-2</v>
      </c>
      <c r="E4" s="2">
        <v>0</v>
      </c>
      <c r="F4" s="2">
        <v>900</v>
      </c>
      <c r="G4" s="8">
        <f t="shared" ref="G4:G28" si="0">E4+F4</f>
        <v>900</v>
      </c>
      <c r="H4" s="8">
        <f t="shared" ref="H4:H28" si="1">ROUNDUP(((C4-E4) + ((C4-E4)*D4*12))/12, 0)</f>
        <v>1556</v>
      </c>
      <c r="I4" s="8">
        <f t="shared" ref="I4:I28" si="2">ROUNDUP(((C4-E4) + ((C4-E4)*D4*24))/24, 0)</f>
        <v>910</v>
      </c>
      <c r="J4" s="8">
        <f t="shared" ref="J4:J28" si="3">ROUNDUP(((C4-E4) + ((C4-E4)*D4*36))/36, 0)</f>
        <v>695</v>
      </c>
      <c r="K4" s="8">
        <f t="shared" ref="K4:K28" si="4">ROUNDUP(((C4-E4) + ((C4-E4)*D4*42))/42, 0)</f>
        <v>633</v>
      </c>
      <c r="L4" s="11" t="s">
        <v>94</v>
      </c>
    </row>
    <row r="5" spans="1:12" ht="28.5" x14ac:dyDescent="0.2">
      <c r="A5" s="11" t="s">
        <v>95</v>
      </c>
      <c r="B5" s="11" t="s">
        <v>96</v>
      </c>
      <c r="C5" s="2">
        <v>25000</v>
      </c>
      <c r="D5" s="3">
        <v>1.7000000000000001E-2</v>
      </c>
      <c r="E5" s="2">
        <v>0</v>
      </c>
      <c r="F5" s="2">
        <v>900</v>
      </c>
      <c r="G5" s="8">
        <f t="shared" si="0"/>
        <v>900</v>
      </c>
      <c r="H5" s="8">
        <f t="shared" si="1"/>
        <v>2509</v>
      </c>
      <c r="I5" s="8">
        <f t="shared" si="2"/>
        <v>1467</v>
      </c>
      <c r="J5" s="8">
        <f t="shared" si="3"/>
        <v>1120</v>
      </c>
      <c r="K5" s="8">
        <f t="shared" si="4"/>
        <v>1021</v>
      </c>
      <c r="L5" s="11" t="s">
        <v>97</v>
      </c>
    </row>
    <row r="6" spans="1:12" ht="28.5" x14ac:dyDescent="0.2">
      <c r="A6" s="11" t="s">
        <v>98</v>
      </c>
      <c r="B6" s="11" t="s">
        <v>99</v>
      </c>
      <c r="C6" s="2">
        <v>38900</v>
      </c>
      <c r="D6" s="3">
        <v>1.7000000000000001E-2</v>
      </c>
      <c r="E6" s="2">
        <v>0</v>
      </c>
      <c r="F6" s="2">
        <v>900</v>
      </c>
      <c r="G6" s="8">
        <f t="shared" si="0"/>
        <v>900</v>
      </c>
      <c r="H6" s="8">
        <f t="shared" si="1"/>
        <v>3903</v>
      </c>
      <c r="I6" s="8">
        <f t="shared" si="2"/>
        <v>2283</v>
      </c>
      <c r="J6" s="8">
        <f t="shared" si="3"/>
        <v>1742</v>
      </c>
      <c r="K6" s="8">
        <f t="shared" si="4"/>
        <v>1588</v>
      </c>
      <c r="L6" s="11" t="s">
        <v>100</v>
      </c>
    </row>
    <row r="7" spans="1:12" ht="28.5" x14ac:dyDescent="0.2">
      <c r="A7" s="11" t="s">
        <v>101</v>
      </c>
      <c r="B7" s="11" t="s">
        <v>102</v>
      </c>
      <c r="C7" s="2">
        <v>35900</v>
      </c>
      <c r="D7" s="3">
        <v>1.7000000000000001E-2</v>
      </c>
      <c r="E7" s="2">
        <v>0</v>
      </c>
      <c r="F7" s="2">
        <v>900</v>
      </c>
      <c r="G7" s="8">
        <f t="shared" si="0"/>
        <v>900</v>
      </c>
      <c r="H7" s="8">
        <f t="shared" si="1"/>
        <v>3602</v>
      </c>
      <c r="I7" s="8">
        <f t="shared" si="2"/>
        <v>2107</v>
      </c>
      <c r="J7" s="8">
        <f t="shared" si="3"/>
        <v>1608</v>
      </c>
      <c r="K7" s="8">
        <f t="shared" si="4"/>
        <v>1466</v>
      </c>
      <c r="L7" s="11" t="s">
        <v>103</v>
      </c>
    </row>
    <row r="8" spans="1:12" ht="28.5" x14ac:dyDescent="0.2">
      <c r="A8" s="11" t="s">
        <v>104</v>
      </c>
      <c r="B8" s="11" t="s">
        <v>105</v>
      </c>
      <c r="C8" s="2">
        <v>35000</v>
      </c>
      <c r="D8" s="3">
        <v>1.7000000000000001E-2</v>
      </c>
      <c r="E8" s="2">
        <v>0</v>
      </c>
      <c r="F8" s="2">
        <v>900</v>
      </c>
      <c r="G8" s="8">
        <f t="shared" si="0"/>
        <v>900</v>
      </c>
      <c r="H8" s="8">
        <f t="shared" si="1"/>
        <v>3512</v>
      </c>
      <c r="I8" s="8">
        <f t="shared" si="2"/>
        <v>2054</v>
      </c>
      <c r="J8" s="8">
        <f t="shared" si="3"/>
        <v>1568</v>
      </c>
      <c r="K8" s="8">
        <f t="shared" si="4"/>
        <v>1429</v>
      </c>
      <c r="L8" s="11" t="s">
        <v>106</v>
      </c>
    </row>
    <row r="9" spans="1:12" ht="28.5" x14ac:dyDescent="0.2">
      <c r="A9" s="11" t="s">
        <v>107</v>
      </c>
      <c r="B9" s="11" t="s">
        <v>108</v>
      </c>
      <c r="C9" s="2">
        <v>37500</v>
      </c>
      <c r="D9" s="3">
        <v>1.7000000000000001E-2</v>
      </c>
      <c r="E9" s="2">
        <v>0</v>
      </c>
      <c r="F9" s="2">
        <v>900</v>
      </c>
      <c r="G9" s="8">
        <f t="shared" si="0"/>
        <v>900</v>
      </c>
      <c r="H9" s="8">
        <f t="shared" si="1"/>
        <v>3763</v>
      </c>
      <c r="I9" s="8">
        <f t="shared" si="2"/>
        <v>2200</v>
      </c>
      <c r="J9" s="8">
        <f t="shared" si="3"/>
        <v>1680</v>
      </c>
      <c r="K9" s="8">
        <f t="shared" si="4"/>
        <v>1531</v>
      </c>
      <c r="L9" s="11" t="s">
        <v>109</v>
      </c>
    </row>
    <row r="10" spans="1:12" ht="28.5" x14ac:dyDescent="0.2">
      <c r="A10" s="11" t="s">
        <v>110</v>
      </c>
      <c r="B10" s="11" t="s">
        <v>111</v>
      </c>
      <c r="C10" s="2">
        <v>38900</v>
      </c>
      <c r="D10" s="3">
        <v>1.7000000000000001E-2</v>
      </c>
      <c r="E10" s="2">
        <v>0</v>
      </c>
      <c r="F10" s="2">
        <v>900</v>
      </c>
      <c r="G10" s="8">
        <f t="shared" si="0"/>
        <v>900</v>
      </c>
      <c r="H10" s="8">
        <f t="shared" si="1"/>
        <v>3903</v>
      </c>
      <c r="I10" s="8">
        <f t="shared" si="2"/>
        <v>2283</v>
      </c>
      <c r="J10" s="8">
        <f t="shared" si="3"/>
        <v>1742</v>
      </c>
      <c r="K10" s="8">
        <f t="shared" si="4"/>
        <v>1588</v>
      </c>
      <c r="L10" s="11" t="s">
        <v>112</v>
      </c>
    </row>
    <row r="11" spans="1:12" ht="28.5" x14ac:dyDescent="0.2">
      <c r="A11" s="11" t="s">
        <v>113</v>
      </c>
      <c r="B11" s="11" t="s">
        <v>114</v>
      </c>
      <c r="C11" s="2">
        <v>37500</v>
      </c>
      <c r="D11" s="3">
        <v>1.7000000000000001E-2</v>
      </c>
      <c r="E11" s="2">
        <v>0</v>
      </c>
      <c r="F11" s="2">
        <v>900</v>
      </c>
      <c r="G11" s="8">
        <f t="shared" si="0"/>
        <v>900</v>
      </c>
      <c r="H11" s="8">
        <f t="shared" si="1"/>
        <v>3763</v>
      </c>
      <c r="I11" s="8">
        <f t="shared" si="2"/>
        <v>2200</v>
      </c>
      <c r="J11" s="8">
        <f t="shared" si="3"/>
        <v>1680</v>
      </c>
      <c r="K11" s="8">
        <f t="shared" si="4"/>
        <v>1531</v>
      </c>
      <c r="L11" s="11" t="s">
        <v>115</v>
      </c>
    </row>
    <row r="12" spans="1:12" ht="28.5" x14ac:dyDescent="0.2">
      <c r="A12" s="11" t="s">
        <v>116</v>
      </c>
      <c r="B12" s="11" t="s">
        <v>117</v>
      </c>
      <c r="C12" s="2">
        <v>39000</v>
      </c>
      <c r="D12" s="3">
        <v>1.7000000000000001E-2</v>
      </c>
      <c r="E12" s="2">
        <v>0</v>
      </c>
      <c r="F12" s="2">
        <v>900</v>
      </c>
      <c r="G12" s="8">
        <f t="shared" si="0"/>
        <v>900</v>
      </c>
      <c r="H12" s="8">
        <f t="shared" si="1"/>
        <v>3913</v>
      </c>
      <c r="I12" s="8">
        <f t="shared" si="2"/>
        <v>2288</v>
      </c>
      <c r="J12" s="8">
        <f t="shared" si="3"/>
        <v>1747</v>
      </c>
      <c r="K12" s="8">
        <f t="shared" si="4"/>
        <v>1592</v>
      </c>
      <c r="L12" s="11" t="s">
        <v>118</v>
      </c>
    </row>
    <row r="13" spans="1:12" ht="28.5" x14ac:dyDescent="0.2">
      <c r="A13" s="11" t="s">
        <v>119</v>
      </c>
      <c r="B13" s="11" t="s">
        <v>120</v>
      </c>
      <c r="C13" s="2">
        <v>39000</v>
      </c>
      <c r="D13" s="3">
        <v>1.7000000000000001E-2</v>
      </c>
      <c r="E13" s="2">
        <v>0</v>
      </c>
      <c r="F13" s="2">
        <v>900</v>
      </c>
      <c r="G13" s="8">
        <f t="shared" si="0"/>
        <v>900</v>
      </c>
      <c r="H13" s="8">
        <f t="shared" si="1"/>
        <v>3913</v>
      </c>
      <c r="I13" s="8">
        <f t="shared" si="2"/>
        <v>2288</v>
      </c>
      <c r="J13" s="8">
        <f t="shared" si="3"/>
        <v>1747</v>
      </c>
      <c r="K13" s="8">
        <f t="shared" si="4"/>
        <v>1592</v>
      </c>
      <c r="L13" s="11" t="s">
        <v>121</v>
      </c>
    </row>
    <row r="14" spans="1:12" ht="28.5" x14ac:dyDescent="0.2">
      <c r="A14" s="11" t="s">
        <v>122</v>
      </c>
      <c r="B14" s="11" t="s">
        <v>123</v>
      </c>
      <c r="C14" s="2">
        <v>40500</v>
      </c>
      <c r="D14" s="3">
        <v>1.7000000000000001E-2</v>
      </c>
      <c r="E14" s="2">
        <v>0</v>
      </c>
      <c r="F14" s="2">
        <v>900</v>
      </c>
      <c r="G14" s="8">
        <f t="shared" si="0"/>
        <v>900</v>
      </c>
      <c r="H14" s="8">
        <f t="shared" si="1"/>
        <v>4064</v>
      </c>
      <c r="I14" s="8">
        <f t="shared" si="2"/>
        <v>2376</v>
      </c>
      <c r="J14" s="8">
        <f t="shared" si="3"/>
        <v>1814</v>
      </c>
      <c r="K14" s="8">
        <f t="shared" si="4"/>
        <v>1653</v>
      </c>
      <c r="L14" s="11" t="s">
        <v>124</v>
      </c>
    </row>
    <row r="15" spans="1:12" ht="28.5" x14ac:dyDescent="0.2">
      <c r="A15" s="11" t="s">
        <v>125</v>
      </c>
      <c r="B15" s="11" t="s">
        <v>126</v>
      </c>
      <c r="C15" s="2">
        <v>40500</v>
      </c>
      <c r="D15" s="3">
        <v>1.7000000000000001E-2</v>
      </c>
      <c r="E15" s="2">
        <v>0</v>
      </c>
      <c r="F15" s="2">
        <v>900</v>
      </c>
      <c r="G15" s="8">
        <f t="shared" si="0"/>
        <v>900</v>
      </c>
      <c r="H15" s="8">
        <f t="shared" si="1"/>
        <v>4064</v>
      </c>
      <c r="I15" s="8">
        <f t="shared" si="2"/>
        <v>2376</v>
      </c>
      <c r="J15" s="8">
        <f t="shared" si="3"/>
        <v>1814</v>
      </c>
      <c r="K15" s="8">
        <f t="shared" si="4"/>
        <v>1653</v>
      </c>
      <c r="L15" s="11" t="s">
        <v>127</v>
      </c>
    </row>
    <row r="16" spans="1:12" ht="28.5" x14ac:dyDescent="0.2">
      <c r="A16" s="11" t="s">
        <v>128</v>
      </c>
      <c r="B16" s="11" t="s">
        <v>129</v>
      </c>
      <c r="C16" s="2">
        <v>40500</v>
      </c>
      <c r="D16" s="3">
        <v>1.7000000000000001E-2</v>
      </c>
      <c r="E16" s="2">
        <v>0</v>
      </c>
      <c r="F16" s="2">
        <v>900</v>
      </c>
      <c r="G16" s="8">
        <f t="shared" si="0"/>
        <v>900</v>
      </c>
      <c r="H16" s="8">
        <f t="shared" si="1"/>
        <v>4064</v>
      </c>
      <c r="I16" s="8">
        <f t="shared" si="2"/>
        <v>2376</v>
      </c>
      <c r="J16" s="8">
        <f t="shared" si="3"/>
        <v>1814</v>
      </c>
      <c r="K16" s="8">
        <f t="shared" si="4"/>
        <v>1653</v>
      </c>
      <c r="L16" s="11" t="s">
        <v>130</v>
      </c>
    </row>
    <row r="17" spans="1:12" ht="28.5" x14ac:dyDescent="0.2">
      <c r="A17" s="11" t="s">
        <v>131</v>
      </c>
      <c r="B17" s="11" t="s">
        <v>132</v>
      </c>
      <c r="C17" s="2">
        <v>40500</v>
      </c>
      <c r="D17" s="3">
        <v>1.7000000000000001E-2</v>
      </c>
      <c r="E17" s="2">
        <v>0</v>
      </c>
      <c r="F17" s="2">
        <v>900</v>
      </c>
      <c r="G17" s="8">
        <f t="shared" si="0"/>
        <v>900</v>
      </c>
      <c r="H17" s="8">
        <f t="shared" si="1"/>
        <v>4064</v>
      </c>
      <c r="I17" s="8">
        <f t="shared" si="2"/>
        <v>2376</v>
      </c>
      <c r="J17" s="8">
        <f t="shared" si="3"/>
        <v>1814</v>
      </c>
      <c r="K17" s="8">
        <f t="shared" si="4"/>
        <v>1653</v>
      </c>
      <c r="L17" s="11" t="s">
        <v>133</v>
      </c>
    </row>
    <row r="18" spans="1:12" ht="28.5" x14ac:dyDescent="0.2">
      <c r="A18" s="11" t="s">
        <v>134</v>
      </c>
      <c r="B18" s="11" t="s">
        <v>135</v>
      </c>
      <c r="C18" s="2">
        <v>40500</v>
      </c>
      <c r="D18" s="3">
        <v>1.7000000000000001E-2</v>
      </c>
      <c r="E18" s="2">
        <v>0</v>
      </c>
      <c r="F18" s="2">
        <v>900</v>
      </c>
      <c r="G18" s="8">
        <f t="shared" si="0"/>
        <v>900</v>
      </c>
      <c r="H18" s="8">
        <f t="shared" si="1"/>
        <v>4064</v>
      </c>
      <c r="I18" s="8">
        <f t="shared" si="2"/>
        <v>2376</v>
      </c>
      <c r="J18" s="8">
        <f t="shared" si="3"/>
        <v>1814</v>
      </c>
      <c r="K18" s="8">
        <f t="shared" si="4"/>
        <v>1653</v>
      </c>
      <c r="L18" s="11" t="s">
        <v>136</v>
      </c>
    </row>
    <row r="19" spans="1:12" ht="28.5" x14ac:dyDescent="0.2">
      <c r="A19" s="11" t="s">
        <v>137</v>
      </c>
      <c r="B19" s="11" t="s">
        <v>138</v>
      </c>
      <c r="C19" s="2">
        <v>40500</v>
      </c>
      <c r="D19" s="3">
        <v>1.7000000000000001E-2</v>
      </c>
      <c r="E19" s="2">
        <v>0</v>
      </c>
      <c r="F19" s="2">
        <v>900</v>
      </c>
      <c r="G19" s="8">
        <f t="shared" si="0"/>
        <v>900</v>
      </c>
      <c r="H19" s="8">
        <f t="shared" si="1"/>
        <v>4064</v>
      </c>
      <c r="I19" s="8">
        <f t="shared" si="2"/>
        <v>2376</v>
      </c>
      <c r="J19" s="8">
        <f t="shared" si="3"/>
        <v>1814</v>
      </c>
      <c r="K19" s="8">
        <f t="shared" si="4"/>
        <v>1653</v>
      </c>
      <c r="L19" s="11" t="s">
        <v>139</v>
      </c>
    </row>
    <row r="20" spans="1:12" ht="28.5" x14ac:dyDescent="0.2">
      <c r="A20" s="11" t="s">
        <v>140</v>
      </c>
      <c r="B20" s="11" t="s">
        <v>141</v>
      </c>
      <c r="C20" s="2">
        <v>42000</v>
      </c>
      <c r="D20" s="3">
        <v>1.7000000000000001E-2</v>
      </c>
      <c r="E20" s="2">
        <v>0</v>
      </c>
      <c r="F20" s="2">
        <v>900</v>
      </c>
      <c r="G20" s="8">
        <f t="shared" si="0"/>
        <v>900</v>
      </c>
      <c r="H20" s="8">
        <f t="shared" si="1"/>
        <v>4214</v>
      </c>
      <c r="I20" s="8">
        <f t="shared" si="2"/>
        <v>2464</v>
      </c>
      <c r="J20" s="8">
        <f t="shared" si="3"/>
        <v>1881</v>
      </c>
      <c r="K20" s="8">
        <f t="shared" si="4"/>
        <v>1714</v>
      </c>
      <c r="L20" s="11" t="s">
        <v>142</v>
      </c>
    </row>
    <row r="21" spans="1:12" ht="28.5" x14ac:dyDescent="0.2">
      <c r="A21" s="11" t="s">
        <v>143</v>
      </c>
      <c r="B21" s="11" t="s">
        <v>144</v>
      </c>
      <c r="C21" s="2">
        <v>33900</v>
      </c>
      <c r="D21" s="3">
        <v>1.7000000000000001E-2</v>
      </c>
      <c r="E21" s="2">
        <v>1000</v>
      </c>
      <c r="F21" s="2">
        <v>900</v>
      </c>
      <c r="G21" s="8">
        <f t="shared" si="0"/>
        <v>1900</v>
      </c>
      <c r="H21" s="8">
        <f t="shared" si="1"/>
        <v>3301</v>
      </c>
      <c r="I21" s="8">
        <f t="shared" si="2"/>
        <v>1931</v>
      </c>
      <c r="J21" s="8">
        <f t="shared" si="3"/>
        <v>1474</v>
      </c>
      <c r="K21" s="8">
        <f t="shared" si="4"/>
        <v>1343</v>
      </c>
      <c r="L21" s="11" t="s">
        <v>145</v>
      </c>
    </row>
    <row r="22" spans="1:12" ht="28.5" x14ac:dyDescent="0.2">
      <c r="A22" s="11" t="s">
        <v>146</v>
      </c>
      <c r="B22" s="11" t="s">
        <v>147</v>
      </c>
      <c r="C22" s="2">
        <v>47500</v>
      </c>
      <c r="D22" s="3">
        <v>1.7000000000000001E-2</v>
      </c>
      <c r="E22" s="2">
        <v>2000</v>
      </c>
      <c r="F22" s="2">
        <v>900</v>
      </c>
      <c r="G22" s="8">
        <f t="shared" si="0"/>
        <v>2900</v>
      </c>
      <c r="H22" s="8">
        <f t="shared" si="1"/>
        <v>4566</v>
      </c>
      <c r="I22" s="8">
        <f t="shared" si="2"/>
        <v>2670</v>
      </c>
      <c r="J22" s="8">
        <f t="shared" si="3"/>
        <v>2038</v>
      </c>
      <c r="K22" s="8">
        <f t="shared" si="4"/>
        <v>1857</v>
      </c>
      <c r="L22" s="11" t="s">
        <v>148</v>
      </c>
    </row>
    <row r="23" spans="1:12" ht="28.5" x14ac:dyDescent="0.2">
      <c r="A23" s="11" t="s">
        <v>149</v>
      </c>
      <c r="B23" s="11" t="s">
        <v>150</v>
      </c>
      <c r="C23" s="2">
        <v>47500</v>
      </c>
      <c r="D23" s="3">
        <v>1.7000000000000001E-2</v>
      </c>
      <c r="E23" s="2">
        <v>2000</v>
      </c>
      <c r="F23" s="2">
        <v>900</v>
      </c>
      <c r="G23" s="8">
        <f t="shared" si="0"/>
        <v>2900</v>
      </c>
      <c r="H23" s="8">
        <f t="shared" si="1"/>
        <v>4566</v>
      </c>
      <c r="I23" s="8">
        <f t="shared" si="2"/>
        <v>2670</v>
      </c>
      <c r="J23" s="8">
        <f t="shared" si="3"/>
        <v>2038</v>
      </c>
      <c r="K23" s="8">
        <f t="shared" si="4"/>
        <v>1857</v>
      </c>
      <c r="L23" s="11" t="s">
        <v>151</v>
      </c>
    </row>
    <row r="24" spans="1:12" ht="28.5" x14ac:dyDescent="0.2">
      <c r="A24" s="11" t="s">
        <v>152</v>
      </c>
      <c r="B24" s="11" t="s">
        <v>153</v>
      </c>
      <c r="C24" s="2">
        <v>47500</v>
      </c>
      <c r="D24" s="3">
        <v>1.7000000000000001E-2</v>
      </c>
      <c r="E24" s="2">
        <v>2000</v>
      </c>
      <c r="F24" s="2">
        <v>900</v>
      </c>
      <c r="G24" s="8">
        <f t="shared" si="0"/>
        <v>2900</v>
      </c>
      <c r="H24" s="8">
        <f t="shared" si="1"/>
        <v>4566</v>
      </c>
      <c r="I24" s="8">
        <f t="shared" si="2"/>
        <v>2670</v>
      </c>
      <c r="J24" s="8">
        <f t="shared" si="3"/>
        <v>2038</v>
      </c>
      <c r="K24" s="8">
        <f t="shared" si="4"/>
        <v>1857</v>
      </c>
      <c r="L24" s="11" t="s">
        <v>154</v>
      </c>
    </row>
    <row r="25" spans="1:12" ht="28.5" x14ac:dyDescent="0.2">
      <c r="A25" s="11" t="s">
        <v>155</v>
      </c>
      <c r="B25" s="11" t="s">
        <v>156</v>
      </c>
      <c r="C25" s="2">
        <v>47500</v>
      </c>
      <c r="D25" s="3">
        <v>1.7000000000000001E-2</v>
      </c>
      <c r="E25" s="2">
        <v>2000</v>
      </c>
      <c r="F25" s="2">
        <v>900</v>
      </c>
      <c r="G25" s="8">
        <f t="shared" si="0"/>
        <v>2900</v>
      </c>
      <c r="H25" s="8">
        <f t="shared" si="1"/>
        <v>4566</v>
      </c>
      <c r="I25" s="8">
        <f t="shared" si="2"/>
        <v>2670</v>
      </c>
      <c r="J25" s="8">
        <f t="shared" si="3"/>
        <v>2038</v>
      </c>
      <c r="K25" s="8">
        <f t="shared" si="4"/>
        <v>1857</v>
      </c>
      <c r="L25" s="11" t="s">
        <v>157</v>
      </c>
    </row>
    <row r="26" spans="1:12" ht="28.5" x14ac:dyDescent="0.2">
      <c r="A26" s="11" t="s">
        <v>158</v>
      </c>
      <c r="B26" s="11" t="s">
        <v>159</v>
      </c>
      <c r="C26" s="2">
        <v>47500</v>
      </c>
      <c r="D26" s="3">
        <v>1.7000000000000001E-2</v>
      </c>
      <c r="E26" s="2">
        <v>2000</v>
      </c>
      <c r="F26" s="2">
        <v>900</v>
      </c>
      <c r="G26" s="8">
        <f t="shared" si="0"/>
        <v>2900</v>
      </c>
      <c r="H26" s="8">
        <f t="shared" si="1"/>
        <v>4566</v>
      </c>
      <c r="I26" s="8">
        <f t="shared" si="2"/>
        <v>2670</v>
      </c>
      <c r="J26" s="8">
        <f t="shared" si="3"/>
        <v>2038</v>
      </c>
      <c r="K26" s="8">
        <f t="shared" si="4"/>
        <v>1857</v>
      </c>
      <c r="L26" s="11" t="s">
        <v>160</v>
      </c>
    </row>
    <row r="27" spans="1:12" ht="28.5" x14ac:dyDescent="0.2">
      <c r="A27" s="11" t="s">
        <v>161</v>
      </c>
      <c r="B27" s="11" t="s">
        <v>162</v>
      </c>
      <c r="C27" s="2">
        <v>46500</v>
      </c>
      <c r="D27" s="3">
        <v>1.7000000000000001E-2</v>
      </c>
      <c r="E27" s="2">
        <v>3000</v>
      </c>
      <c r="F27" s="2">
        <v>900</v>
      </c>
      <c r="G27" s="8">
        <f t="shared" si="0"/>
        <v>3900</v>
      </c>
      <c r="H27" s="8">
        <f t="shared" si="1"/>
        <v>4365</v>
      </c>
      <c r="I27" s="8">
        <f t="shared" si="2"/>
        <v>2552</v>
      </c>
      <c r="J27" s="8">
        <f t="shared" si="3"/>
        <v>1948</v>
      </c>
      <c r="K27" s="8">
        <f t="shared" si="4"/>
        <v>1776</v>
      </c>
      <c r="L27" s="11" t="s">
        <v>163</v>
      </c>
    </row>
    <row r="28" spans="1:12" ht="28.5" x14ac:dyDescent="0.2">
      <c r="A28" s="11" t="s">
        <v>164</v>
      </c>
      <c r="B28" s="11" t="s">
        <v>165</v>
      </c>
      <c r="C28" s="2">
        <v>61900</v>
      </c>
      <c r="D28" s="3">
        <v>1.7000000000000001E-2</v>
      </c>
      <c r="E28" s="2">
        <v>3000</v>
      </c>
      <c r="F28" s="2">
        <v>900</v>
      </c>
      <c r="G28" s="8">
        <f t="shared" si="0"/>
        <v>3900</v>
      </c>
      <c r="H28" s="8">
        <f t="shared" si="1"/>
        <v>5910</v>
      </c>
      <c r="I28" s="8">
        <f t="shared" si="2"/>
        <v>3456</v>
      </c>
      <c r="J28" s="8">
        <f t="shared" si="3"/>
        <v>2638</v>
      </c>
      <c r="K28" s="8">
        <f t="shared" si="4"/>
        <v>2404</v>
      </c>
      <c r="L28" s="11" t="s">
        <v>166</v>
      </c>
    </row>
    <row r="30" spans="1:12" x14ac:dyDescent="0.2">
      <c r="A30" s="173" t="s">
        <v>167</v>
      </c>
      <c r="B30" s="168"/>
      <c r="C30" s="168"/>
      <c r="D30" s="168"/>
      <c r="E30" s="168"/>
      <c r="F30" s="168"/>
      <c r="G30" s="168"/>
      <c r="H30" s="168"/>
      <c r="I30" s="168"/>
      <c r="J30" s="168"/>
      <c r="K30" s="168"/>
      <c r="L30" s="168"/>
    </row>
  </sheetData>
  <mergeCells count="11">
    <mergeCell ref="A30:L30"/>
    <mergeCell ref="A1:L1"/>
    <mergeCell ref="A2:A3"/>
    <mergeCell ref="B2:B3"/>
    <mergeCell ref="C2:C3"/>
    <mergeCell ref="D2:D3"/>
    <mergeCell ref="E2:E3"/>
    <mergeCell ref="F2:F3"/>
    <mergeCell ref="G2:G3"/>
    <mergeCell ref="H2:K2"/>
    <mergeCell ref="L2:L3"/>
  </mergeCells>
  <pageMargins left="0.5" right="0.25" top="0.28999999999999998" bottom="0.13" header="0.5" footer="0.13"/>
  <pageSetup paperSize="9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88822-A014-4585-ABB4-44359F8BDAA2}">
  <sheetPr>
    <pageSetUpPr fitToPage="1"/>
  </sheetPr>
  <dimension ref="A1:Q61"/>
  <sheetViews>
    <sheetView view="pageLayout" topLeftCell="C3" zoomScale="90" zoomScaleNormal="100" zoomScaleSheetLayoutView="90" zoomScalePageLayoutView="90" workbookViewId="0">
      <selection activeCell="Q18" sqref="Q18"/>
    </sheetView>
  </sheetViews>
  <sheetFormatPr defaultRowHeight="19.5" x14ac:dyDescent="0.25"/>
  <cols>
    <col min="1" max="1" width="35.125" style="159" bestFit="1" customWidth="1"/>
    <col min="2" max="2" width="9.625" style="158" bestFit="1" customWidth="1"/>
    <col min="3" max="3" width="7.625" style="157" bestFit="1" customWidth="1"/>
    <col min="4" max="4" width="1.75" style="158" customWidth="1"/>
    <col min="5" max="5" width="36.625" style="158" bestFit="1" customWidth="1"/>
    <col min="6" max="6" width="8.375" style="158" bestFit="1" customWidth="1"/>
    <col min="7" max="7" width="11.375" style="157" bestFit="1" customWidth="1"/>
    <col min="8" max="8" width="2.125" style="113" customWidth="1"/>
    <col min="9" max="9" width="17.125" style="9" bestFit="1" customWidth="1"/>
    <col min="10" max="10" width="11.125" style="9" customWidth="1"/>
    <col min="11" max="11" width="8.375" style="9" customWidth="1"/>
    <col min="12" max="12" width="5.375" style="9" bestFit="1" customWidth="1"/>
    <col min="13" max="13" width="13.25" style="9" customWidth="1"/>
    <col min="14" max="14" width="13.375" style="160" customWidth="1"/>
    <col min="15" max="15" width="6" style="160" bestFit="1" customWidth="1"/>
    <col min="16" max="16" width="11.375" style="9" customWidth="1"/>
    <col min="17" max="16384" width="9" style="9"/>
  </cols>
  <sheetData>
    <row r="1" spans="1:16" x14ac:dyDescent="0.25">
      <c r="A1" s="196" t="s">
        <v>168</v>
      </c>
      <c r="B1" s="197"/>
      <c r="C1" s="197"/>
      <c r="D1" s="197"/>
      <c r="E1" s="197"/>
      <c r="F1" s="197"/>
      <c r="G1" s="197"/>
      <c r="H1" s="13"/>
      <c r="I1" s="198" t="s">
        <v>169</v>
      </c>
      <c r="J1" s="199"/>
      <c r="K1" s="199"/>
      <c r="L1" s="199"/>
      <c r="M1" s="199"/>
      <c r="N1" s="199"/>
      <c r="O1" s="199"/>
      <c r="P1" s="199"/>
    </row>
    <row r="2" spans="1:16" ht="20.100000000000001" customHeight="1" thickBot="1" x14ac:dyDescent="0.3">
      <c r="A2" s="202" t="s">
        <v>170</v>
      </c>
      <c r="B2" s="203"/>
      <c r="C2" s="203"/>
      <c r="D2" s="203"/>
      <c r="E2" s="203"/>
      <c r="F2" s="203"/>
      <c r="G2" s="203"/>
      <c r="H2" s="14"/>
      <c r="I2" s="200"/>
      <c r="J2" s="201"/>
      <c r="K2" s="201"/>
      <c r="L2" s="201"/>
      <c r="M2" s="201"/>
      <c r="N2" s="201"/>
      <c r="O2" s="201"/>
      <c r="P2" s="201"/>
    </row>
    <row r="3" spans="1:16" s="23" customFormat="1" ht="20.25" thickBot="1" x14ac:dyDescent="0.25">
      <c r="A3" s="204" t="s">
        <v>171</v>
      </c>
      <c r="B3" s="205"/>
      <c r="C3" s="205"/>
      <c r="D3" s="15"/>
      <c r="E3" s="206" t="s">
        <v>172</v>
      </c>
      <c r="F3" s="205"/>
      <c r="G3" s="205"/>
      <c r="H3" s="16"/>
      <c r="I3" s="17" t="s">
        <v>173</v>
      </c>
      <c r="J3" s="18" t="s">
        <v>174</v>
      </c>
      <c r="K3" s="19" t="s">
        <v>175</v>
      </c>
      <c r="L3" s="19" t="s">
        <v>176</v>
      </c>
      <c r="M3" s="19" t="s">
        <v>177</v>
      </c>
      <c r="N3" s="20" t="s">
        <v>178</v>
      </c>
      <c r="O3" s="21" t="s">
        <v>179</v>
      </c>
      <c r="P3" s="22" t="s">
        <v>180</v>
      </c>
    </row>
    <row r="4" spans="1:16" ht="21.95" customHeight="1" thickBot="1" x14ac:dyDescent="0.3">
      <c r="A4" s="24" t="s">
        <v>181</v>
      </c>
      <c r="B4" s="25" t="s">
        <v>182</v>
      </c>
      <c r="C4" s="26" t="s">
        <v>183</v>
      </c>
      <c r="D4" s="25"/>
      <c r="E4" s="25" t="s">
        <v>181</v>
      </c>
      <c r="F4" s="25" t="s">
        <v>182</v>
      </c>
      <c r="G4" s="26" t="s">
        <v>183</v>
      </c>
      <c r="H4" s="14"/>
      <c r="I4" s="27" t="s">
        <v>184</v>
      </c>
      <c r="J4" s="28" t="s">
        <v>185</v>
      </c>
      <c r="K4" s="29">
        <v>697.93</v>
      </c>
      <c r="L4" s="30">
        <v>3</v>
      </c>
      <c r="M4" s="29">
        <v>49.07</v>
      </c>
      <c r="N4" s="31">
        <v>750</v>
      </c>
      <c r="O4" s="32">
        <v>1200</v>
      </c>
      <c r="P4" s="33" t="s">
        <v>186</v>
      </c>
    </row>
    <row r="5" spans="1:16" ht="20.100000000000001" customHeight="1" x14ac:dyDescent="0.25">
      <c r="A5" s="34" t="s">
        <v>187</v>
      </c>
      <c r="B5" s="35">
        <v>525</v>
      </c>
      <c r="C5" s="36">
        <v>640</v>
      </c>
      <c r="D5" s="35"/>
      <c r="E5" s="37" t="s">
        <v>188</v>
      </c>
      <c r="F5" s="38">
        <v>530</v>
      </c>
      <c r="G5" s="39">
        <v>740</v>
      </c>
      <c r="H5" s="14"/>
      <c r="I5" s="40"/>
      <c r="J5" s="41" t="s">
        <v>189</v>
      </c>
      <c r="K5" s="42">
        <v>604.48</v>
      </c>
      <c r="L5" s="43">
        <v>3</v>
      </c>
      <c r="M5" s="42">
        <v>42.52</v>
      </c>
      <c r="N5" s="44">
        <v>650</v>
      </c>
      <c r="O5" s="45"/>
      <c r="P5" s="46" t="s">
        <v>190</v>
      </c>
    </row>
    <row r="6" spans="1:16" ht="20.100000000000001" customHeight="1" x14ac:dyDescent="0.25">
      <c r="A6" s="47" t="s">
        <v>191</v>
      </c>
      <c r="B6" s="48">
        <v>372</v>
      </c>
      <c r="C6" s="49">
        <v>510</v>
      </c>
      <c r="D6" s="48"/>
      <c r="E6" s="50" t="s">
        <v>192</v>
      </c>
      <c r="F6" s="48">
        <v>0</v>
      </c>
      <c r="G6" s="49">
        <v>0</v>
      </c>
      <c r="H6" s="14"/>
      <c r="I6" s="40"/>
      <c r="J6" s="41" t="s">
        <v>193</v>
      </c>
      <c r="K6" s="42">
        <v>1023.04</v>
      </c>
      <c r="L6" s="43">
        <v>5</v>
      </c>
      <c r="M6" s="42">
        <v>71.959999999999994</v>
      </c>
      <c r="N6" s="44">
        <v>1100</v>
      </c>
      <c r="O6" s="45">
        <v>1600</v>
      </c>
      <c r="P6" s="46" t="s">
        <v>194</v>
      </c>
    </row>
    <row r="7" spans="1:16" ht="20.100000000000001" customHeight="1" x14ac:dyDescent="0.25">
      <c r="A7" s="34" t="s">
        <v>195</v>
      </c>
      <c r="B7" s="35">
        <v>200</v>
      </c>
      <c r="C7" s="36">
        <v>200</v>
      </c>
      <c r="D7" s="35"/>
      <c r="E7" s="51" t="s">
        <v>196</v>
      </c>
      <c r="F7" s="35">
        <v>200</v>
      </c>
      <c r="G7" s="36">
        <v>200</v>
      </c>
      <c r="H7" s="14"/>
      <c r="I7" s="40"/>
      <c r="J7" s="41" t="s">
        <v>197</v>
      </c>
      <c r="K7" s="42">
        <v>557.75</v>
      </c>
      <c r="L7" s="43">
        <v>3</v>
      </c>
      <c r="M7" s="42">
        <v>39.25</v>
      </c>
      <c r="N7" s="44">
        <v>600</v>
      </c>
      <c r="O7" s="45"/>
      <c r="P7" s="46" t="s">
        <v>198</v>
      </c>
    </row>
    <row r="8" spans="1:16" ht="20.100000000000001" customHeight="1" x14ac:dyDescent="0.25">
      <c r="A8" s="47" t="s">
        <v>199</v>
      </c>
      <c r="B8" s="48">
        <v>323</v>
      </c>
      <c r="C8" s="49">
        <v>360</v>
      </c>
      <c r="D8" s="48"/>
      <c r="E8" s="50" t="s">
        <v>200</v>
      </c>
      <c r="F8" s="48">
        <v>0</v>
      </c>
      <c r="G8" s="49">
        <v>0</v>
      </c>
      <c r="H8" s="14"/>
      <c r="I8" s="52"/>
      <c r="J8" s="53" t="s">
        <v>201</v>
      </c>
      <c r="K8" s="54">
        <v>1581.79</v>
      </c>
      <c r="L8" s="55">
        <v>7</v>
      </c>
      <c r="M8" s="54">
        <v>111.21</v>
      </c>
      <c r="N8" s="56">
        <v>1700</v>
      </c>
      <c r="O8" s="57">
        <v>2000</v>
      </c>
      <c r="P8" s="58" t="s">
        <v>202</v>
      </c>
    </row>
    <row r="9" spans="1:16" ht="20.100000000000001" customHeight="1" x14ac:dyDescent="0.25">
      <c r="A9" s="34" t="s">
        <v>203</v>
      </c>
      <c r="B9" s="35"/>
      <c r="C9" s="36">
        <v>200</v>
      </c>
      <c r="D9" s="35"/>
      <c r="E9" s="51"/>
      <c r="F9" s="35"/>
      <c r="G9" s="36"/>
      <c r="H9" s="14"/>
      <c r="I9" s="59" t="s">
        <v>204</v>
      </c>
      <c r="J9" s="60" t="s">
        <v>185</v>
      </c>
      <c r="K9" s="61">
        <v>1163.22</v>
      </c>
      <c r="L9" s="62">
        <v>5</v>
      </c>
      <c r="M9" s="61">
        <v>81.78</v>
      </c>
      <c r="N9" s="63">
        <v>1250</v>
      </c>
      <c r="O9" s="64">
        <v>1700</v>
      </c>
      <c r="P9" s="65" t="s">
        <v>205</v>
      </c>
    </row>
    <row r="10" spans="1:16" ht="20.100000000000001" customHeight="1" x14ac:dyDescent="0.25">
      <c r="A10" s="47" t="s">
        <v>206</v>
      </c>
      <c r="B10" s="48">
        <v>650</v>
      </c>
      <c r="C10" s="49">
        <v>1000</v>
      </c>
      <c r="D10" s="48"/>
      <c r="E10" s="50"/>
      <c r="F10" s="48"/>
      <c r="G10" s="49"/>
      <c r="H10" s="14"/>
      <c r="I10" s="66"/>
      <c r="J10" s="67" t="s">
        <v>189</v>
      </c>
      <c r="K10" s="68">
        <v>1069.77</v>
      </c>
      <c r="L10" s="69">
        <v>5</v>
      </c>
      <c r="M10" s="68">
        <v>75.23</v>
      </c>
      <c r="N10" s="70">
        <v>1150</v>
      </c>
      <c r="O10" s="71"/>
      <c r="P10" s="72" t="s">
        <v>207</v>
      </c>
    </row>
    <row r="11" spans="1:16" ht="21.95" customHeight="1" thickBot="1" x14ac:dyDescent="0.3">
      <c r="A11" s="73" t="s">
        <v>208</v>
      </c>
      <c r="B11" s="74">
        <f>SUM(B5:B10)</f>
        <v>2070</v>
      </c>
      <c r="C11" s="75">
        <f>SUM(C5:C10)</f>
        <v>2910</v>
      </c>
      <c r="D11" s="74"/>
      <c r="E11" s="76" t="s">
        <v>208</v>
      </c>
      <c r="F11" s="74">
        <f>SUM(F5:F10)</f>
        <v>730</v>
      </c>
      <c r="G11" s="75">
        <f>SUM(G5:G10)</f>
        <v>940</v>
      </c>
      <c r="H11" s="14"/>
      <c r="I11" s="66"/>
      <c r="J11" s="67" t="s">
        <v>193</v>
      </c>
      <c r="K11" s="68">
        <v>1954.62</v>
      </c>
      <c r="L11" s="69">
        <v>8</v>
      </c>
      <c r="M11" s="68">
        <v>137.38</v>
      </c>
      <c r="N11" s="70">
        <v>2100</v>
      </c>
      <c r="O11" s="71">
        <v>2500</v>
      </c>
      <c r="P11" s="72" t="s">
        <v>209</v>
      </c>
    </row>
    <row r="12" spans="1:16" ht="25.5" thickTop="1" thickBot="1" x14ac:dyDescent="0.3">
      <c r="A12" s="204" t="s">
        <v>210</v>
      </c>
      <c r="B12" s="207"/>
      <c r="C12" s="207"/>
      <c r="D12" s="77"/>
      <c r="E12" s="206" t="s">
        <v>211</v>
      </c>
      <c r="F12" s="207"/>
      <c r="G12" s="207"/>
      <c r="H12" s="14"/>
      <c r="I12" s="66"/>
      <c r="J12" s="67" t="s">
        <v>197</v>
      </c>
      <c r="K12" s="68">
        <v>883.85</v>
      </c>
      <c r="L12" s="69">
        <v>4</v>
      </c>
      <c r="M12" s="68">
        <v>62.15</v>
      </c>
      <c r="N12" s="70">
        <v>950</v>
      </c>
      <c r="O12" s="71"/>
      <c r="P12" s="72" t="s">
        <v>212</v>
      </c>
    </row>
    <row r="13" spans="1:16" ht="21.95" customHeight="1" thickBot="1" x14ac:dyDescent="0.3">
      <c r="A13" s="24" t="s">
        <v>181</v>
      </c>
      <c r="B13" s="25" t="s">
        <v>182</v>
      </c>
      <c r="C13" s="26" t="s">
        <v>183</v>
      </c>
      <c r="D13" s="25"/>
      <c r="E13" s="25" t="s">
        <v>181</v>
      </c>
      <c r="F13" s="25" t="s">
        <v>182</v>
      </c>
      <c r="G13" s="26" t="s">
        <v>183</v>
      </c>
      <c r="H13" s="14"/>
      <c r="I13" s="78"/>
      <c r="J13" s="79" t="s">
        <v>201</v>
      </c>
      <c r="K13" s="80">
        <v>2419.91</v>
      </c>
      <c r="L13" s="81">
        <v>10</v>
      </c>
      <c r="M13" s="80">
        <v>170.09</v>
      </c>
      <c r="N13" s="82">
        <v>2600</v>
      </c>
      <c r="O13" s="83">
        <v>3000</v>
      </c>
      <c r="P13" s="84" t="s">
        <v>213</v>
      </c>
    </row>
    <row r="14" spans="1:16" ht="20.100000000000001" customHeight="1" x14ac:dyDescent="0.25">
      <c r="A14" s="34" t="s">
        <v>214</v>
      </c>
      <c r="B14" s="35">
        <v>650</v>
      </c>
      <c r="C14" s="36">
        <v>1000</v>
      </c>
      <c r="D14" s="35"/>
      <c r="E14" s="85" t="s">
        <v>215</v>
      </c>
      <c r="F14" s="86">
        <v>323</v>
      </c>
      <c r="G14" s="87">
        <v>360</v>
      </c>
      <c r="H14" s="14"/>
      <c r="I14" s="27" t="s">
        <v>216</v>
      </c>
      <c r="J14" s="28" t="s">
        <v>185</v>
      </c>
      <c r="K14" s="29">
        <v>2047.07</v>
      </c>
      <c r="L14" s="30">
        <v>9</v>
      </c>
      <c r="M14" s="29">
        <v>143.93</v>
      </c>
      <c r="N14" s="31">
        <v>2200</v>
      </c>
      <c r="O14" s="32">
        <v>2600</v>
      </c>
      <c r="P14" s="33" t="s">
        <v>217</v>
      </c>
    </row>
    <row r="15" spans="1:16" ht="20.100000000000001" customHeight="1" x14ac:dyDescent="0.25">
      <c r="A15" s="47" t="s">
        <v>218</v>
      </c>
      <c r="B15" s="48">
        <v>750</v>
      </c>
      <c r="C15" s="49">
        <v>1300</v>
      </c>
      <c r="D15" s="48"/>
      <c r="E15" s="88" t="s">
        <v>219</v>
      </c>
      <c r="F15" s="89">
        <v>430</v>
      </c>
      <c r="G15" s="90">
        <v>460</v>
      </c>
      <c r="H15" s="14"/>
      <c r="I15" s="40"/>
      <c r="J15" s="41" t="s">
        <v>189</v>
      </c>
      <c r="K15" s="42">
        <v>1814.43</v>
      </c>
      <c r="L15" s="43">
        <v>8</v>
      </c>
      <c r="M15" s="42">
        <v>127.57</v>
      </c>
      <c r="N15" s="44">
        <v>1950</v>
      </c>
      <c r="O15" s="45"/>
      <c r="P15" s="46" t="s">
        <v>220</v>
      </c>
    </row>
    <row r="16" spans="1:16" ht="20.100000000000001" customHeight="1" x14ac:dyDescent="0.25">
      <c r="A16" s="34" t="s">
        <v>221</v>
      </c>
      <c r="B16" s="35">
        <v>1000</v>
      </c>
      <c r="C16" s="36">
        <v>1500</v>
      </c>
      <c r="D16" s="35"/>
      <c r="E16" s="85" t="s">
        <v>222</v>
      </c>
      <c r="F16" s="86">
        <v>645</v>
      </c>
      <c r="G16" s="87">
        <v>760</v>
      </c>
      <c r="H16" s="14"/>
      <c r="I16" s="40"/>
      <c r="J16" s="41" t="s">
        <v>193</v>
      </c>
      <c r="K16" s="42">
        <v>2699.28</v>
      </c>
      <c r="L16" s="43">
        <v>11</v>
      </c>
      <c r="M16" s="42">
        <v>189.72</v>
      </c>
      <c r="N16" s="44">
        <v>2900</v>
      </c>
      <c r="O16" s="45">
        <v>3300</v>
      </c>
      <c r="P16" s="46" t="s">
        <v>223</v>
      </c>
    </row>
    <row r="17" spans="1:17" ht="20.100000000000001" customHeight="1" x14ac:dyDescent="0.25">
      <c r="A17" s="184" t="s">
        <v>224</v>
      </c>
      <c r="B17" s="185"/>
      <c r="C17" s="186"/>
      <c r="D17" s="91"/>
      <c r="E17" s="92" t="s">
        <v>225</v>
      </c>
      <c r="F17" s="93">
        <v>5115</v>
      </c>
      <c r="G17" s="94">
        <v>6000</v>
      </c>
      <c r="H17" s="14"/>
      <c r="I17" s="40"/>
      <c r="J17" s="41" t="s">
        <v>197</v>
      </c>
      <c r="K17" s="42">
        <v>1442.6</v>
      </c>
      <c r="L17" s="43">
        <v>6</v>
      </c>
      <c r="M17" s="42">
        <v>101.4</v>
      </c>
      <c r="N17" s="44">
        <v>1550</v>
      </c>
      <c r="O17" s="45"/>
      <c r="P17" s="46" t="s">
        <v>226</v>
      </c>
    </row>
    <row r="18" spans="1:17" ht="20.100000000000001" customHeight="1" x14ac:dyDescent="0.25">
      <c r="A18" s="34" t="s">
        <v>227</v>
      </c>
      <c r="B18" s="35">
        <v>130</v>
      </c>
      <c r="C18" s="95">
        <v>170</v>
      </c>
      <c r="D18" s="96"/>
      <c r="E18" s="97" t="s">
        <v>228</v>
      </c>
      <c r="F18" s="98">
        <v>750</v>
      </c>
      <c r="G18" s="99">
        <v>1200</v>
      </c>
      <c r="H18" s="14"/>
      <c r="I18" s="52"/>
      <c r="J18" s="53" t="s">
        <v>201</v>
      </c>
      <c r="K18" s="54">
        <v>3164.57</v>
      </c>
      <c r="L18" s="55">
        <v>13</v>
      </c>
      <c r="M18" s="54">
        <v>222.43</v>
      </c>
      <c r="N18" s="56">
        <v>3400</v>
      </c>
      <c r="O18" s="57">
        <v>3800</v>
      </c>
      <c r="P18" s="58" t="s">
        <v>229</v>
      </c>
    </row>
    <row r="19" spans="1:17" ht="20.100000000000001" customHeight="1" x14ac:dyDescent="0.25">
      <c r="A19" s="47" t="s">
        <v>230</v>
      </c>
      <c r="B19" s="48">
        <v>60</v>
      </c>
      <c r="C19" s="100">
        <v>100</v>
      </c>
      <c r="D19" s="101"/>
      <c r="E19" s="102" t="s">
        <v>231</v>
      </c>
      <c r="F19" s="103">
        <v>1100</v>
      </c>
      <c r="G19" s="104">
        <v>1600</v>
      </c>
      <c r="H19" s="14"/>
      <c r="I19" s="59" t="s">
        <v>232</v>
      </c>
      <c r="J19" s="60" t="s">
        <v>185</v>
      </c>
      <c r="K19" s="61">
        <v>2885.2</v>
      </c>
      <c r="L19" s="62">
        <v>12</v>
      </c>
      <c r="M19" s="61">
        <v>202.8</v>
      </c>
      <c r="N19" s="63">
        <v>3100</v>
      </c>
      <c r="O19" s="64">
        <v>3500</v>
      </c>
      <c r="P19" s="65" t="s">
        <v>233</v>
      </c>
    </row>
    <row r="20" spans="1:17" ht="20.100000000000001" customHeight="1" x14ac:dyDescent="0.25">
      <c r="A20" s="105" t="s">
        <v>234</v>
      </c>
      <c r="B20" s="35">
        <v>150</v>
      </c>
      <c r="C20" s="36">
        <v>250</v>
      </c>
      <c r="D20" s="106"/>
      <c r="E20" s="107" t="s">
        <v>235</v>
      </c>
      <c r="F20" s="106">
        <v>1100</v>
      </c>
      <c r="G20" s="108">
        <v>2000</v>
      </c>
      <c r="H20" s="14"/>
      <c r="I20" s="66"/>
      <c r="J20" s="67" t="s">
        <v>189</v>
      </c>
      <c r="K20" s="68">
        <v>2559.09</v>
      </c>
      <c r="L20" s="69">
        <v>11</v>
      </c>
      <c r="M20" s="68">
        <v>179.91</v>
      </c>
      <c r="N20" s="70">
        <v>2750</v>
      </c>
      <c r="O20" s="71"/>
      <c r="P20" s="72" t="s">
        <v>236</v>
      </c>
    </row>
    <row r="21" spans="1:17" ht="20.100000000000001" customHeight="1" x14ac:dyDescent="0.25">
      <c r="A21" s="109" t="s">
        <v>237</v>
      </c>
      <c r="B21" s="48">
        <v>300</v>
      </c>
      <c r="C21" s="49">
        <v>450</v>
      </c>
      <c r="D21" s="48"/>
      <c r="E21" s="110" t="s">
        <v>238</v>
      </c>
      <c r="F21" s="48">
        <v>1600</v>
      </c>
      <c r="G21" s="49">
        <v>2500</v>
      </c>
      <c r="H21" s="14"/>
      <c r="I21" s="66"/>
      <c r="J21" s="67" t="s">
        <v>193</v>
      </c>
      <c r="K21" s="68">
        <v>3536.4</v>
      </c>
      <c r="L21" s="69">
        <v>15</v>
      </c>
      <c r="M21" s="68">
        <v>248.6</v>
      </c>
      <c r="N21" s="70">
        <v>3800</v>
      </c>
      <c r="O21" s="71">
        <v>4200</v>
      </c>
      <c r="P21" s="72" t="s">
        <v>239</v>
      </c>
    </row>
    <row r="22" spans="1:17" ht="20.100000000000001" customHeight="1" x14ac:dyDescent="0.25">
      <c r="A22" s="111" t="s">
        <v>240</v>
      </c>
      <c r="B22" s="35">
        <v>75</v>
      </c>
      <c r="C22" s="36">
        <v>200</v>
      </c>
      <c r="D22" s="35"/>
      <c r="E22" s="112" t="s">
        <v>241</v>
      </c>
      <c r="F22" s="35">
        <v>1100</v>
      </c>
      <c r="G22" s="36">
        <v>1500</v>
      </c>
      <c r="H22" s="14"/>
      <c r="I22" s="66"/>
      <c r="J22" s="67" t="s">
        <v>197</v>
      </c>
      <c r="K22" s="68">
        <v>2093.8000000000002</v>
      </c>
      <c r="L22" s="69">
        <v>9</v>
      </c>
      <c r="M22" s="68">
        <v>147.19999999999999</v>
      </c>
      <c r="N22" s="70">
        <v>2250</v>
      </c>
      <c r="O22" s="71"/>
      <c r="P22" s="72" t="s">
        <v>242</v>
      </c>
    </row>
    <row r="23" spans="1:17" ht="20.100000000000001" customHeight="1" thickBot="1" x14ac:dyDescent="0.3">
      <c r="A23" s="109" t="s">
        <v>243</v>
      </c>
      <c r="B23" s="48">
        <v>150</v>
      </c>
      <c r="C23" s="49">
        <v>200</v>
      </c>
      <c r="D23" s="48"/>
      <c r="E23" s="110" t="s">
        <v>244</v>
      </c>
      <c r="F23" s="48">
        <v>1600</v>
      </c>
      <c r="G23" s="49">
        <v>2000</v>
      </c>
      <c r="H23" s="14"/>
      <c r="I23" s="78"/>
      <c r="J23" s="79" t="s">
        <v>201</v>
      </c>
      <c r="K23" s="80">
        <v>3909.23</v>
      </c>
      <c r="L23" s="81">
        <v>16</v>
      </c>
      <c r="M23" s="80">
        <v>274.77</v>
      </c>
      <c r="N23" s="82">
        <v>4200</v>
      </c>
      <c r="O23" s="83">
        <v>4600</v>
      </c>
      <c r="P23" s="84" t="s">
        <v>245</v>
      </c>
    </row>
    <row r="24" spans="1:17" ht="24.75" thickBot="1" x14ac:dyDescent="0.3">
      <c r="A24" s="111" t="s">
        <v>246</v>
      </c>
      <c r="B24" s="35">
        <v>150</v>
      </c>
      <c r="C24" s="36">
        <v>220</v>
      </c>
      <c r="D24" s="35"/>
      <c r="E24" s="112" t="s">
        <v>247</v>
      </c>
      <c r="F24" s="35">
        <v>630</v>
      </c>
      <c r="G24" s="36">
        <v>1100</v>
      </c>
      <c r="I24" s="114" t="s">
        <v>248</v>
      </c>
      <c r="J24" s="115"/>
      <c r="K24" s="115"/>
      <c r="L24" s="115"/>
      <c r="M24" s="115"/>
      <c r="N24" s="115"/>
      <c r="O24" s="115"/>
      <c r="P24" s="116"/>
    </row>
    <row r="25" spans="1:17" ht="24.75" thickBot="1" x14ac:dyDescent="0.3">
      <c r="A25" s="109" t="s">
        <v>249</v>
      </c>
      <c r="B25" s="48">
        <v>250</v>
      </c>
      <c r="C25" s="49">
        <v>320</v>
      </c>
      <c r="D25" s="48"/>
      <c r="E25" s="110" t="s">
        <v>250</v>
      </c>
      <c r="F25" s="48">
        <v>980</v>
      </c>
      <c r="G25" s="49">
        <v>1500</v>
      </c>
      <c r="I25" s="187" t="s">
        <v>251</v>
      </c>
      <c r="J25" s="188"/>
      <c r="K25" s="188"/>
      <c r="L25" s="188"/>
      <c r="M25" s="188"/>
      <c r="N25" s="188"/>
      <c r="O25" s="188"/>
      <c r="P25" s="117"/>
    </row>
    <row r="26" spans="1:17" ht="20.100000000000001" customHeight="1" thickBot="1" x14ac:dyDescent="0.3">
      <c r="A26" s="111" t="s">
        <v>252</v>
      </c>
      <c r="B26" s="35">
        <v>200</v>
      </c>
      <c r="C26" s="36">
        <v>250</v>
      </c>
      <c r="D26" s="118"/>
      <c r="E26" s="119" t="s">
        <v>253</v>
      </c>
      <c r="F26" s="118">
        <v>700</v>
      </c>
      <c r="G26" s="120">
        <v>1300</v>
      </c>
      <c r="I26" s="189" t="s">
        <v>254</v>
      </c>
      <c r="J26" s="168"/>
      <c r="K26" s="168"/>
      <c r="L26" s="168"/>
      <c r="M26" s="168"/>
      <c r="N26" s="168"/>
      <c r="O26" s="168"/>
      <c r="P26" s="121"/>
    </row>
    <row r="27" spans="1:17" ht="20.100000000000001" customHeight="1" thickBot="1" x14ac:dyDescent="0.3">
      <c r="A27" s="109" t="s">
        <v>255</v>
      </c>
      <c r="B27" s="48">
        <v>120</v>
      </c>
      <c r="C27" s="100">
        <v>180</v>
      </c>
      <c r="D27" s="122"/>
      <c r="E27" s="123" t="s">
        <v>256</v>
      </c>
      <c r="F27" s="124">
        <v>1450</v>
      </c>
      <c r="G27" s="125">
        <v>1800</v>
      </c>
      <c r="I27" s="190" t="s">
        <v>257</v>
      </c>
      <c r="J27" s="191"/>
      <c r="K27" s="191"/>
      <c r="L27" s="191"/>
      <c r="M27" s="191"/>
      <c r="N27" s="126" t="s">
        <v>258</v>
      </c>
      <c r="O27" s="127" t="s">
        <v>259</v>
      </c>
      <c r="P27" s="128"/>
      <c r="Q27" s="113"/>
    </row>
    <row r="28" spans="1:17" ht="20.100000000000001" customHeight="1" x14ac:dyDescent="0.25">
      <c r="A28" s="129" t="s">
        <v>260</v>
      </c>
      <c r="B28" s="38">
        <v>500</v>
      </c>
      <c r="C28" s="130">
        <v>0</v>
      </c>
      <c r="D28" s="131"/>
      <c r="E28" s="132" t="s">
        <v>261</v>
      </c>
      <c r="F28" s="133">
        <v>2300</v>
      </c>
      <c r="G28" s="134">
        <v>3000</v>
      </c>
      <c r="I28" s="192" t="s">
        <v>262</v>
      </c>
      <c r="J28" s="193"/>
      <c r="K28" s="193"/>
      <c r="L28" s="193"/>
      <c r="M28" s="193"/>
      <c r="N28" s="193"/>
      <c r="O28" s="193"/>
      <c r="P28" s="14"/>
      <c r="Q28" s="113"/>
    </row>
    <row r="29" spans="1:17" ht="20.100000000000001" customHeight="1" x14ac:dyDescent="0.25">
      <c r="A29" s="129" t="s">
        <v>263</v>
      </c>
      <c r="B29" s="38">
        <v>1000</v>
      </c>
      <c r="C29" s="39"/>
      <c r="D29" s="135"/>
      <c r="E29" s="136"/>
      <c r="F29" s="106"/>
      <c r="G29" s="108"/>
      <c r="I29" s="194" t="s">
        <v>264</v>
      </c>
      <c r="J29" s="195"/>
      <c r="K29" s="195"/>
      <c r="L29" s="195"/>
      <c r="M29" s="195"/>
      <c r="N29" s="137" t="s">
        <v>265</v>
      </c>
      <c r="O29" s="138" t="s">
        <v>265</v>
      </c>
      <c r="P29" s="121"/>
      <c r="Q29" s="113"/>
    </row>
    <row r="30" spans="1:17" ht="24.75" thickBot="1" x14ac:dyDescent="0.3">
      <c r="A30" s="129" t="s">
        <v>266</v>
      </c>
      <c r="B30" s="38">
        <v>1500</v>
      </c>
      <c r="C30" s="39"/>
      <c r="D30" s="38"/>
      <c r="E30" s="139"/>
      <c r="F30" s="35"/>
      <c r="G30" s="36"/>
      <c r="I30" s="194"/>
      <c r="J30" s="195"/>
      <c r="K30" s="195"/>
      <c r="L30" s="195"/>
      <c r="M30" s="195"/>
      <c r="N30" s="137" t="s">
        <v>265</v>
      </c>
      <c r="O30" s="138" t="s">
        <v>265</v>
      </c>
      <c r="P30" s="121"/>
      <c r="Q30" s="113"/>
    </row>
    <row r="31" spans="1:17" ht="20.100000000000001" customHeight="1" x14ac:dyDescent="0.25">
      <c r="A31" s="129" t="s">
        <v>267</v>
      </c>
      <c r="B31" s="38">
        <v>2000</v>
      </c>
      <c r="C31" s="39"/>
      <c r="D31" s="38"/>
      <c r="E31" s="139"/>
      <c r="F31" s="35"/>
      <c r="G31" s="36"/>
      <c r="I31" s="174" t="s">
        <v>268</v>
      </c>
      <c r="J31" s="175"/>
      <c r="K31" s="175"/>
      <c r="L31" s="175"/>
      <c r="M31" s="175"/>
      <c r="N31" s="175"/>
      <c r="O31" s="140"/>
      <c r="P31" s="13"/>
      <c r="Q31" s="113"/>
    </row>
    <row r="32" spans="1:17" ht="24" customHeight="1" x14ac:dyDescent="0.25">
      <c r="A32" s="47" t="s">
        <v>269</v>
      </c>
      <c r="B32" s="48">
        <v>100</v>
      </c>
      <c r="C32" s="49">
        <v>100</v>
      </c>
      <c r="D32" s="48"/>
      <c r="E32" s="141"/>
      <c r="F32" s="48"/>
      <c r="G32" s="49"/>
      <c r="I32" s="176"/>
      <c r="J32" s="177"/>
      <c r="K32" s="177"/>
      <c r="L32" s="177"/>
      <c r="M32" s="177"/>
      <c r="N32" s="177"/>
      <c r="O32" s="142"/>
      <c r="P32" s="14"/>
      <c r="Q32" s="113"/>
    </row>
    <row r="33" spans="1:17" ht="20.100000000000001" customHeight="1" x14ac:dyDescent="0.25">
      <c r="A33" s="34" t="s">
        <v>270</v>
      </c>
      <c r="B33" s="35">
        <v>0</v>
      </c>
      <c r="C33" s="36">
        <v>0</v>
      </c>
      <c r="D33" s="35"/>
      <c r="E33" s="139"/>
      <c r="F33" s="35"/>
      <c r="G33" s="36"/>
      <c r="I33" s="176"/>
      <c r="J33" s="177"/>
      <c r="K33" s="177"/>
      <c r="L33" s="177"/>
      <c r="M33" s="177"/>
      <c r="N33" s="177"/>
      <c r="O33" s="142"/>
      <c r="P33" s="14"/>
      <c r="Q33" s="113"/>
    </row>
    <row r="34" spans="1:17" ht="24.75" customHeight="1" thickBot="1" x14ac:dyDescent="0.3">
      <c r="A34" s="143" t="s">
        <v>271</v>
      </c>
      <c r="B34" s="144">
        <v>0</v>
      </c>
      <c r="C34" s="145">
        <v>0</v>
      </c>
      <c r="D34" s="144"/>
      <c r="E34" s="146"/>
      <c r="F34" s="144"/>
      <c r="G34" s="145"/>
      <c r="H34" s="147"/>
      <c r="I34" s="176"/>
      <c r="J34" s="177"/>
      <c r="K34" s="177"/>
      <c r="L34" s="177"/>
      <c r="M34" s="177"/>
      <c r="N34" s="177"/>
      <c r="O34" s="142"/>
      <c r="P34" s="14"/>
      <c r="Q34" s="113"/>
    </row>
    <row r="35" spans="1:17" s="148" customFormat="1" ht="20.100000000000001" customHeight="1" thickBot="1" x14ac:dyDescent="0.3">
      <c r="C35" s="149"/>
      <c r="G35" s="149"/>
      <c r="I35" s="178"/>
      <c r="J35" s="179"/>
      <c r="K35" s="179"/>
      <c r="L35" s="179"/>
      <c r="M35" s="179"/>
      <c r="N35" s="179"/>
      <c r="O35" s="150"/>
      <c r="P35" s="151"/>
      <c r="Q35" s="113"/>
    </row>
    <row r="36" spans="1:17" s="152" customFormat="1" ht="20.100000000000001" customHeight="1" x14ac:dyDescent="0.25">
      <c r="C36" s="149"/>
      <c r="G36" s="149"/>
      <c r="I36" s="180" t="s">
        <v>272</v>
      </c>
      <c r="J36" s="181"/>
      <c r="K36" s="181"/>
      <c r="L36" s="181"/>
      <c r="M36" s="181"/>
      <c r="N36" s="181"/>
      <c r="O36" s="181"/>
      <c r="P36" s="14"/>
      <c r="Q36" s="113"/>
    </row>
    <row r="37" spans="1:17" s="148" customFormat="1" ht="7.5" customHeight="1" x14ac:dyDescent="0.25">
      <c r="C37" s="149"/>
      <c r="G37" s="149"/>
      <c r="I37" s="182" t="s">
        <v>273</v>
      </c>
      <c r="J37" s="182"/>
      <c r="K37" s="182"/>
      <c r="L37" s="182"/>
      <c r="M37" s="182"/>
      <c r="P37" s="14"/>
      <c r="Q37" s="113"/>
    </row>
    <row r="38" spans="1:17" s="148" customFormat="1" ht="21.75" x14ac:dyDescent="0.25">
      <c r="C38" s="149"/>
      <c r="G38" s="149"/>
      <c r="I38" s="182"/>
      <c r="J38" s="182"/>
      <c r="K38" s="182"/>
      <c r="L38" s="182"/>
      <c r="M38" s="182"/>
      <c r="N38" s="137" t="s">
        <v>265</v>
      </c>
      <c r="O38" s="138" t="s">
        <v>265</v>
      </c>
      <c r="P38" s="14"/>
    </row>
    <row r="39" spans="1:17" s="148" customFormat="1" ht="20.25" thickBot="1" x14ac:dyDescent="0.3">
      <c r="C39" s="149"/>
      <c r="G39" s="149"/>
      <c r="I39" s="183"/>
      <c r="J39" s="183"/>
      <c r="K39" s="183"/>
      <c r="L39" s="183"/>
      <c r="M39" s="183"/>
      <c r="N39" s="153"/>
      <c r="O39" s="153"/>
      <c r="P39" s="154"/>
      <c r="Q39" s="152"/>
    </row>
    <row r="40" spans="1:17" s="148" customFormat="1" ht="13.5" customHeight="1" x14ac:dyDescent="0.25">
      <c r="C40" s="149"/>
      <c r="G40" s="149"/>
      <c r="N40" s="155"/>
      <c r="O40" s="155"/>
    </row>
    <row r="41" spans="1:17" s="148" customFormat="1" ht="13.5" customHeight="1" x14ac:dyDescent="0.25">
      <c r="C41" s="149"/>
      <c r="G41" s="149"/>
      <c r="I41" s="152"/>
      <c r="J41" s="152"/>
      <c r="K41" s="152"/>
      <c r="L41" s="152"/>
      <c r="M41" s="152"/>
      <c r="N41" s="156"/>
      <c r="O41" s="156"/>
      <c r="P41" s="152"/>
    </row>
    <row r="42" spans="1:17" s="148" customFormat="1" ht="13.5" customHeight="1" x14ac:dyDescent="0.25">
      <c r="C42" s="149"/>
      <c r="G42" s="149"/>
      <c r="N42" s="155"/>
      <c r="O42" s="155"/>
    </row>
    <row r="43" spans="1:17" s="148" customFormat="1" ht="13.5" customHeight="1" x14ac:dyDescent="0.25">
      <c r="C43" s="149"/>
      <c r="G43" s="149"/>
      <c r="N43" s="155"/>
      <c r="O43" s="155"/>
    </row>
    <row r="44" spans="1:17" s="148" customFormat="1" ht="13.5" customHeight="1" x14ac:dyDescent="0.25">
      <c r="C44" s="149"/>
      <c r="G44" s="149"/>
      <c r="N44" s="155"/>
      <c r="O44" s="155"/>
    </row>
    <row r="45" spans="1:17" s="148" customFormat="1" ht="13.5" customHeight="1" x14ac:dyDescent="0.25">
      <c r="C45" s="149"/>
      <c r="G45" s="149"/>
      <c r="N45" s="155"/>
      <c r="O45" s="155"/>
    </row>
    <row r="46" spans="1:17" s="148" customFormat="1" ht="13.5" customHeight="1" x14ac:dyDescent="0.25">
      <c r="C46" s="149"/>
      <c r="G46" s="149"/>
      <c r="N46" s="155"/>
      <c r="O46" s="155"/>
    </row>
    <row r="47" spans="1:17" s="148" customFormat="1" ht="13.5" customHeight="1" x14ac:dyDescent="0.25">
      <c r="C47" s="149"/>
      <c r="G47" s="149"/>
      <c r="N47" s="155"/>
      <c r="O47" s="155"/>
    </row>
    <row r="48" spans="1:17" s="148" customFormat="1" ht="13.5" customHeight="1" x14ac:dyDescent="0.25">
      <c r="C48" s="149"/>
      <c r="G48" s="149"/>
      <c r="N48" s="155"/>
      <c r="O48" s="155"/>
    </row>
    <row r="49" spans="3:17" s="148" customFormat="1" ht="13.5" customHeight="1" x14ac:dyDescent="0.25">
      <c r="C49" s="149"/>
      <c r="G49" s="149"/>
      <c r="N49" s="155"/>
      <c r="O49" s="155"/>
    </row>
    <row r="50" spans="3:17" s="148" customFormat="1" ht="13.5" customHeight="1" x14ac:dyDescent="0.25">
      <c r="C50" s="149"/>
      <c r="G50" s="149"/>
      <c r="N50" s="155"/>
      <c r="O50" s="155"/>
    </row>
    <row r="51" spans="3:17" s="148" customFormat="1" ht="13.5" customHeight="1" x14ac:dyDescent="0.25">
      <c r="C51" s="149"/>
      <c r="G51" s="149"/>
      <c r="N51" s="155"/>
      <c r="O51" s="155"/>
    </row>
    <row r="52" spans="3:17" s="148" customFormat="1" ht="13.5" customHeight="1" x14ac:dyDescent="0.25">
      <c r="C52" s="149"/>
      <c r="G52" s="149"/>
      <c r="N52" s="155"/>
      <c r="O52" s="155"/>
    </row>
    <row r="53" spans="3:17" s="148" customFormat="1" ht="13.5" customHeight="1" x14ac:dyDescent="0.25">
      <c r="C53" s="149"/>
      <c r="G53" s="149"/>
      <c r="N53" s="155"/>
      <c r="O53" s="155"/>
    </row>
    <row r="54" spans="3:17" s="148" customFormat="1" ht="13.5" customHeight="1" x14ac:dyDescent="0.25">
      <c r="C54" s="149"/>
      <c r="G54" s="149"/>
      <c r="N54" s="155"/>
      <c r="O54" s="155"/>
    </row>
    <row r="55" spans="3:17" s="148" customFormat="1" ht="13.5" customHeight="1" x14ac:dyDescent="0.25">
      <c r="C55" s="149"/>
      <c r="G55" s="149"/>
      <c r="N55" s="155"/>
      <c r="O55" s="155"/>
    </row>
    <row r="56" spans="3:17" s="148" customFormat="1" ht="13.5" customHeight="1" x14ac:dyDescent="0.25">
      <c r="C56" s="149"/>
      <c r="G56" s="149"/>
      <c r="N56" s="155"/>
      <c r="O56" s="155"/>
    </row>
    <row r="57" spans="3:17" x14ac:dyDescent="0.25">
      <c r="I57" s="148"/>
      <c r="J57" s="148"/>
      <c r="K57" s="148"/>
      <c r="L57" s="148"/>
      <c r="M57" s="148"/>
      <c r="N57" s="155"/>
      <c r="O57" s="155"/>
      <c r="P57" s="148"/>
      <c r="Q57" s="148"/>
    </row>
    <row r="58" spans="3:17" x14ac:dyDescent="0.25">
      <c r="I58" s="148"/>
      <c r="J58" s="148"/>
      <c r="K58" s="148"/>
      <c r="L58" s="148"/>
      <c r="M58" s="148"/>
      <c r="N58" s="155"/>
      <c r="O58" s="155"/>
      <c r="P58" s="148"/>
      <c r="Q58" s="148"/>
    </row>
    <row r="59" spans="3:17" x14ac:dyDescent="0.25">
      <c r="I59" s="148"/>
      <c r="J59" s="148"/>
      <c r="K59" s="148"/>
      <c r="L59" s="148"/>
      <c r="M59" s="148"/>
      <c r="N59" s="155"/>
      <c r="O59" s="155"/>
      <c r="P59" s="148"/>
      <c r="Q59" s="148"/>
    </row>
    <row r="60" spans="3:17" x14ac:dyDescent="0.25">
      <c r="I60" s="148"/>
      <c r="J60" s="148"/>
      <c r="K60" s="148"/>
      <c r="L60" s="148"/>
      <c r="M60" s="148"/>
      <c r="N60" s="155"/>
      <c r="O60" s="155"/>
      <c r="P60" s="148"/>
    </row>
    <row r="61" spans="3:17" x14ac:dyDescent="0.25">
      <c r="I61" s="148"/>
      <c r="J61" s="148"/>
      <c r="K61" s="148"/>
      <c r="L61" s="148"/>
      <c r="M61" s="148"/>
      <c r="N61" s="155"/>
      <c r="O61" s="155"/>
      <c r="P61" s="148"/>
    </row>
  </sheetData>
  <mergeCells count="16">
    <mergeCell ref="A12:C12"/>
    <mergeCell ref="E12:G12"/>
    <mergeCell ref="A1:G1"/>
    <mergeCell ref="I1:P2"/>
    <mergeCell ref="A2:G2"/>
    <mergeCell ref="A3:C3"/>
    <mergeCell ref="E3:G3"/>
    <mergeCell ref="I31:N35"/>
    <mergeCell ref="I36:O36"/>
    <mergeCell ref="I37:M39"/>
    <mergeCell ref="A17:C17"/>
    <mergeCell ref="I25:O25"/>
    <mergeCell ref="I26:O26"/>
    <mergeCell ref="I27:M27"/>
    <mergeCell ref="I28:O28"/>
    <mergeCell ref="I29:M30"/>
  </mergeCells>
  <pageMargins left="0.19" right="0.13" top="0.39" bottom="0.22" header="0.5" footer="0.2"/>
  <pageSetup paperSize="9" scale="68" fitToHeight="0" orientation="landscape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7</vt:i4>
      </vt:variant>
      <vt:variant>
        <vt:lpstr>ช่วงที่มีชื่อ</vt:lpstr>
      </vt:variant>
      <vt:variant>
        <vt:i4>5</vt:i4>
      </vt:variant>
    </vt:vector>
  </HeadingPairs>
  <TitlesOfParts>
    <vt:vector size="12" baseType="lpstr">
      <vt:lpstr>คำนวณค่างวด Flat Rate</vt:lpstr>
      <vt:lpstr>Auto</vt:lpstr>
      <vt:lpstr>Moped</vt:lpstr>
      <vt:lpstr>Sport</vt:lpstr>
      <vt:lpstr>รถใหม่_Honda</vt:lpstr>
      <vt:lpstr>รถมือสอง_Honda</vt:lpstr>
      <vt:lpstr>ตารางราคาทะเบียน</vt:lpstr>
      <vt:lpstr>Auto!Print_Titles</vt:lpstr>
      <vt:lpstr>Moped!Print_Titles</vt:lpstr>
      <vt:lpstr>Sport!Print_Titles</vt:lpstr>
      <vt:lpstr>รถมือสอง_Honda!Print_Titles</vt:lpstr>
      <vt:lpstr>รถใหม่_Honda!Print_Titles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cp:lastPrinted>2026-08-25T03:10:25Z</cp:lastPrinted>
  <dcterms:created xsi:type="dcterms:W3CDTF">2026-08-25T02:59:52Z</dcterms:created>
  <dcterms:modified xsi:type="dcterms:W3CDTF">2026-08-26T08:57:06Z</dcterms:modified>
</cp:coreProperties>
</file>