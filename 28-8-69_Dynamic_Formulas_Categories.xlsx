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"/>
    </mc:Choice>
  </mc:AlternateContent>
  <xr:revisionPtr revIDLastSave="0" documentId="13_ncr:1_{5CBE269E-19F0-4F2B-A2A7-0632BD7899DD}" xr6:coauthVersionLast="47" xr6:coauthVersionMax="47" xr10:uidLastSave="{00000000-0000-0000-0000-000000000000}"/>
  <bookViews>
    <workbookView xWindow="-120" yWindow="-120" windowWidth="20730" windowHeight="11040" xr2:uid="{2AA7A42A-5189-4EA1-AE67-FD5CC8988654}"/>
  </bookViews>
  <sheets>
    <sheet name="ราคารถทั้งหมด 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0" i="2" l="1"/>
  <c r="E18" i="2"/>
  <c r="C9" i="2"/>
  <c r="C11" i="2" s="1"/>
  <c r="N143" i="1"/>
  <c r="M143" i="1"/>
  <c r="K143" i="1"/>
  <c r="I143" i="1"/>
  <c r="H143" i="1"/>
  <c r="N142" i="1"/>
  <c r="M142" i="1"/>
  <c r="K142" i="1"/>
  <c r="I142" i="1"/>
  <c r="H142" i="1"/>
  <c r="N141" i="1"/>
  <c r="M141" i="1"/>
  <c r="K141" i="1"/>
  <c r="I141" i="1"/>
  <c r="H141" i="1"/>
  <c r="N140" i="1"/>
  <c r="M140" i="1"/>
  <c r="K140" i="1"/>
  <c r="I140" i="1"/>
  <c r="H140" i="1"/>
  <c r="N139" i="1"/>
  <c r="M139" i="1"/>
  <c r="K139" i="1"/>
  <c r="I139" i="1"/>
  <c r="H139" i="1"/>
  <c r="N138" i="1"/>
  <c r="M138" i="1"/>
  <c r="K138" i="1"/>
  <c r="I138" i="1"/>
  <c r="H138" i="1"/>
  <c r="N137" i="1"/>
  <c r="M137" i="1"/>
  <c r="K137" i="1"/>
  <c r="I137" i="1"/>
  <c r="H137" i="1"/>
  <c r="N136" i="1"/>
  <c r="M136" i="1"/>
  <c r="K136" i="1"/>
  <c r="I136" i="1"/>
  <c r="H136" i="1"/>
  <c r="N135" i="1"/>
  <c r="M135" i="1"/>
  <c r="K135" i="1"/>
  <c r="I135" i="1"/>
  <c r="H135" i="1"/>
  <c r="N134" i="1"/>
  <c r="M134" i="1"/>
  <c r="K134" i="1"/>
  <c r="I134" i="1"/>
  <c r="H134" i="1"/>
  <c r="N133" i="1"/>
  <c r="M133" i="1"/>
  <c r="K133" i="1"/>
  <c r="I133" i="1"/>
  <c r="H133" i="1"/>
  <c r="N132" i="1"/>
  <c r="M132" i="1"/>
  <c r="K132" i="1"/>
  <c r="I132" i="1"/>
  <c r="H132" i="1"/>
  <c r="N131" i="1"/>
  <c r="M131" i="1"/>
  <c r="K131" i="1"/>
  <c r="I131" i="1"/>
  <c r="H131" i="1"/>
  <c r="N130" i="1"/>
  <c r="M130" i="1"/>
  <c r="K130" i="1"/>
  <c r="I130" i="1"/>
  <c r="H130" i="1"/>
  <c r="N129" i="1"/>
  <c r="M129" i="1"/>
  <c r="K129" i="1"/>
  <c r="I129" i="1"/>
  <c r="H129" i="1"/>
  <c r="N128" i="1"/>
  <c r="M128" i="1"/>
  <c r="K128" i="1"/>
  <c r="I128" i="1"/>
  <c r="H128" i="1"/>
  <c r="F123" i="1"/>
  <c r="N123" i="1" s="1"/>
  <c r="F122" i="1"/>
  <c r="N122" i="1" s="1"/>
  <c r="F121" i="1"/>
  <c r="N121" i="1" s="1"/>
  <c r="N120" i="1"/>
  <c r="M120" i="1"/>
  <c r="L120" i="1"/>
  <c r="K120" i="1"/>
  <c r="J120" i="1"/>
  <c r="I120" i="1"/>
  <c r="H120" i="1"/>
  <c r="F119" i="1"/>
  <c r="M119" i="1" s="1"/>
  <c r="F118" i="1"/>
  <c r="M118" i="1" s="1"/>
  <c r="F117" i="1"/>
  <c r="M117" i="1" s="1"/>
  <c r="N116" i="1"/>
  <c r="M116" i="1"/>
  <c r="L116" i="1"/>
  <c r="K116" i="1"/>
  <c r="J116" i="1"/>
  <c r="I116" i="1"/>
  <c r="H116" i="1"/>
  <c r="F115" i="1"/>
  <c r="L115" i="1" s="1"/>
  <c r="F114" i="1"/>
  <c r="L114" i="1" s="1"/>
  <c r="F113" i="1"/>
  <c r="L113" i="1" s="1"/>
  <c r="N112" i="1"/>
  <c r="M112" i="1"/>
  <c r="L112" i="1"/>
  <c r="K112" i="1"/>
  <c r="J112" i="1"/>
  <c r="I112" i="1"/>
  <c r="H112" i="1"/>
  <c r="H111" i="1"/>
  <c r="F111" i="1"/>
  <c r="K111" i="1" s="1"/>
  <c r="F110" i="1"/>
  <c r="K110" i="1" s="1"/>
  <c r="F109" i="1"/>
  <c r="K109" i="1" s="1"/>
  <c r="N108" i="1"/>
  <c r="M108" i="1"/>
  <c r="L108" i="1"/>
  <c r="K108" i="1"/>
  <c r="J108" i="1"/>
  <c r="I108" i="1"/>
  <c r="H108" i="1"/>
  <c r="F103" i="1"/>
  <c r="N103" i="1" s="1"/>
  <c r="F102" i="1"/>
  <c r="N102" i="1" s="1"/>
  <c r="F101" i="1"/>
  <c r="N101" i="1" s="1"/>
  <c r="N100" i="1"/>
  <c r="M100" i="1"/>
  <c r="L100" i="1"/>
  <c r="K100" i="1"/>
  <c r="J100" i="1"/>
  <c r="I100" i="1"/>
  <c r="H100" i="1"/>
  <c r="F99" i="1"/>
  <c r="M99" i="1" s="1"/>
  <c r="F98" i="1"/>
  <c r="M98" i="1" s="1"/>
  <c r="F97" i="1"/>
  <c r="M97" i="1" s="1"/>
  <c r="N96" i="1"/>
  <c r="M96" i="1"/>
  <c r="L96" i="1"/>
  <c r="K96" i="1"/>
  <c r="J96" i="1"/>
  <c r="I96" i="1"/>
  <c r="H96" i="1"/>
  <c r="F95" i="1"/>
  <c r="L95" i="1" s="1"/>
  <c r="I94" i="1"/>
  <c r="F94" i="1"/>
  <c r="L94" i="1" s="1"/>
  <c r="F93" i="1"/>
  <c r="L93" i="1" s="1"/>
  <c r="N92" i="1"/>
  <c r="M92" i="1"/>
  <c r="L92" i="1"/>
  <c r="K92" i="1"/>
  <c r="J92" i="1"/>
  <c r="I92" i="1"/>
  <c r="H92" i="1"/>
  <c r="F91" i="1"/>
  <c r="K91" i="1" s="1"/>
  <c r="F90" i="1"/>
  <c r="K90" i="1" s="1"/>
  <c r="F89" i="1"/>
  <c r="K89" i="1" s="1"/>
  <c r="N88" i="1"/>
  <c r="M88" i="1"/>
  <c r="L88" i="1"/>
  <c r="K88" i="1"/>
  <c r="J88" i="1"/>
  <c r="I88" i="1"/>
  <c r="H88" i="1"/>
  <c r="F87" i="1"/>
  <c r="N87" i="1" s="1"/>
  <c r="F86" i="1"/>
  <c r="N86" i="1" s="1"/>
  <c r="F85" i="1"/>
  <c r="N85" i="1" s="1"/>
  <c r="N84" i="1"/>
  <c r="M84" i="1"/>
  <c r="L84" i="1"/>
  <c r="K84" i="1"/>
  <c r="J84" i="1"/>
  <c r="I84" i="1"/>
  <c r="H84" i="1"/>
  <c r="F79" i="1"/>
  <c r="N79" i="1" s="1"/>
  <c r="F78" i="1"/>
  <c r="N78" i="1" s="1"/>
  <c r="F77" i="1"/>
  <c r="N77" i="1" s="1"/>
  <c r="N76" i="1"/>
  <c r="M76" i="1"/>
  <c r="L76" i="1"/>
  <c r="K76" i="1"/>
  <c r="J76" i="1"/>
  <c r="I76" i="1"/>
  <c r="H76" i="1"/>
  <c r="F75" i="1"/>
  <c r="K75" i="1" s="1"/>
  <c r="F74" i="1"/>
  <c r="K74" i="1" s="1"/>
  <c r="H73" i="1"/>
  <c r="F73" i="1"/>
  <c r="K73" i="1" s="1"/>
  <c r="N72" i="1"/>
  <c r="M72" i="1"/>
  <c r="L72" i="1"/>
  <c r="K72" i="1"/>
  <c r="J72" i="1"/>
  <c r="I72" i="1"/>
  <c r="H72" i="1"/>
  <c r="F71" i="1"/>
  <c r="K71" i="1" s="1"/>
  <c r="F70" i="1"/>
  <c r="K70" i="1" s="1"/>
  <c r="I69" i="1"/>
  <c r="F69" i="1"/>
  <c r="K69" i="1" s="1"/>
  <c r="N68" i="1"/>
  <c r="M68" i="1"/>
  <c r="L68" i="1"/>
  <c r="K68" i="1"/>
  <c r="J68" i="1"/>
  <c r="I68" i="1"/>
  <c r="H68" i="1"/>
  <c r="F67" i="1"/>
  <c r="K67" i="1" s="1"/>
  <c r="F66" i="1"/>
  <c r="K66" i="1" s="1"/>
  <c r="F65" i="1"/>
  <c r="K65" i="1" s="1"/>
  <c r="N64" i="1"/>
  <c r="M64" i="1"/>
  <c r="L64" i="1"/>
  <c r="K64" i="1"/>
  <c r="J64" i="1"/>
  <c r="I64" i="1"/>
  <c r="H64" i="1"/>
  <c r="F63" i="1"/>
  <c r="M63" i="1" s="1"/>
  <c r="F62" i="1"/>
  <c r="M62" i="1" s="1"/>
  <c r="F61" i="1"/>
  <c r="M61" i="1" s="1"/>
  <c r="N60" i="1"/>
  <c r="M60" i="1"/>
  <c r="L60" i="1"/>
  <c r="K60" i="1"/>
  <c r="J60" i="1"/>
  <c r="I60" i="1"/>
  <c r="H60" i="1"/>
  <c r="N59" i="1"/>
  <c r="F59" i="1"/>
  <c r="K59" i="1" s="1"/>
  <c r="I58" i="1"/>
  <c r="H58" i="1"/>
  <c r="F58" i="1"/>
  <c r="K58" i="1" s="1"/>
  <c r="F57" i="1"/>
  <c r="K57" i="1" s="1"/>
  <c r="N56" i="1"/>
  <c r="M56" i="1"/>
  <c r="L56" i="1"/>
  <c r="K56" i="1"/>
  <c r="J56" i="1"/>
  <c r="I56" i="1"/>
  <c r="H56" i="1"/>
  <c r="F55" i="1"/>
  <c r="M55" i="1" s="1"/>
  <c r="F54" i="1"/>
  <c r="F53" i="1"/>
  <c r="N52" i="1"/>
  <c r="M52" i="1"/>
  <c r="L52" i="1"/>
  <c r="K52" i="1"/>
  <c r="J52" i="1"/>
  <c r="I52" i="1"/>
  <c r="H52" i="1"/>
  <c r="J51" i="1"/>
  <c r="F51" i="1"/>
  <c r="K51" i="1" s="1"/>
  <c r="F50" i="1"/>
  <c r="K50" i="1" s="1"/>
  <c r="F49" i="1"/>
  <c r="K49" i="1" s="1"/>
  <c r="N48" i="1"/>
  <c r="M48" i="1"/>
  <c r="L48" i="1"/>
  <c r="K48" i="1"/>
  <c r="J48" i="1"/>
  <c r="I48" i="1"/>
  <c r="H48" i="1"/>
  <c r="F47" i="1"/>
  <c r="M47" i="1" s="1"/>
  <c r="F46" i="1"/>
  <c r="M46" i="1" s="1"/>
  <c r="F45" i="1"/>
  <c r="M45" i="1" s="1"/>
  <c r="N44" i="1"/>
  <c r="M44" i="1"/>
  <c r="L44" i="1"/>
  <c r="K44" i="1"/>
  <c r="J44" i="1"/>
  <c r="I44" i="1"/>
  <c r="H44" i="1"/>
  <c r="N43" i="1"/>
  <c r="M43" i="1"/>
  <c r="L43" i="1"/>
  <c r="K43" i="1"/>
  <c r="J43" i="1"/>
  <c r="I43" i="1"/>
  <c r="H43" i="1"/>
  <c r="F42" i="1"/>
  <c r="K42" i="1" s="1"/>
  <c r="F41" i="1"/>
  <c r="I41" i="1" s="1"/>
  <c r="N40" i="1"/>
  <c r="M40" i="1"/>
  <c r="L40" i="1"/>
  <c r="K40" i="1"/>
  <c r="J40" i="1"/>
  <c r="I40" i="1"/>
  <c r="H40" i="1"/>
  <c r="F39" i="1"/>
  <c r="K39" i="1" s="1"/>
  <c r="F38" i="1"/>
  <c r="K38" i="1" s="1"/>
  <c r="F37" i="1"/>
  <c r="K37" i="1" s="1"/>
  <c r="N36" i="1"/>
  <c r="M36" i="1"/>
  <c r="L36" i="1"/>
  <c r="K36" i="1"/>
  <c r="J36" i="1"/>
  <c r="I36" i="1"/>
  <c r="H36" i="1"/>
  <c r="F35" i="1"/>
  <c r="F34" i="1"/>
  <c r="F33" i="1"/>
  <c r="M33" i="1" s="1"/>
  <c r="N32" i="1"/>
  <c r="M32" i="1"/>
  <c r="L32" i="1"/>
  <c r="K32" i="1"/>
  <c r="J32" i="1"/>
  <c r="I32" i="1"/>
  <c r="H32" i="1"/>
  <c r="F31" i="1"/>
  <c r="K31" i="1" s="1"/>
  <c r="F30" i="1"/>
  <c r="K30" i="1" s="1"/>
  <c r="F29" i="1"/>
  <c r="K29" i="1" s="1"/>
  <c r="N28" i="1"/>
  <c r="M28" i="1"/>
  <c r="L28" i="1"/>
  <c r="K28" i="1"/>
  <c r="J28" i="1"/>
  <c r="I28" i="1"/>
  <c r="H28" i="1"/>
  <c r="F27" i="1"/>
  <c r="K27" i="1" s="1"/>
  <c r="F26" i="1"/>
  <c r="I26" i="1" s="1"/>
  <c r="F25" i="1"/>
  <c r="K25" i="1" s="1"/>
  <c r="N24" i="1"/>
  <c r="M24" i="1"/>
  <c r="L24" i="1"/>
  <c r="K24" i="1"/>
  <c r="J24" i="1"/>
  <c r="I24" i="1"/>
  <c r="H24" i="1"/>
  <c r="F23" i="1"/>
  <c r="N23" i="1" s="1"/>
  <c r="F22" i="1"/>
  <c r="F21" i="1"/>
  <c r="J21" i="1" s="1"/>
  <c r="N20" i="1"/>
  <c r="M20" i="1"/>
  <c r="L20" i="1"/>
  <c r="K20" i="1"/>
  <c r="J20" i="1"/>
  <c r="I20" i="1"/>
  <c r="H20" i="1"/>
  <c r="F19" i="1"/>
  <c r="N19" i="1" s="1"/>
  <c r="F18" i="1"/>
  <c r="K18" i="1" s="1"/>
  <c r="F17" i="1"/>
  <c r="K17" i="1" s="1"/>
  <c r="N16" i="1"/>
  <c r="M16" i="1"/>
  <c r="L16" i="1"/>
  <c r="K16" i="1"/>
  <c r="J16" i="1"/>
  <c r="I16" i="1"/>
  <c r="H16" i="1"/>
  <c r="F15" i="1"/>
  <c r="K15" i="1" s="1"/>
  <c r="F14" i="1"/>
  <c r="K14" i="1" s="1"/>
  <c r="H13" i="1"/>
  <c r="F13" i="1"/>
  <c r="K13" i="1" s="1"/>
  <c r="N12" i="1"/>
  <c r="M12" i="1"/>
  <c r="L12" i="1"/>
  <c r="K12" i="1"/>
  <c r="J12" i="1"/>
  <c r="I12" i="1"/>
  <c r="H12" i="1"/>
  <c r="F11" i="1"/>
  <c r="I11" i="1" s="1"/>
  <c r="F10" i="1"/>
  <c r="K10" i="1" s="1"/>
  <c r="F9" i="1"/>
  <c r="M9" i="1" s="1"/>
  <c r="N8" i="1"/>
  <c r="M8" i="1"/>
  <c r="L8" i="1"/>
  <c r="K8" i="1"/>
  <c r="J8" i="1"/>
  <c r="I8" i="1"/>
  <c r="H8" i="1"/>
  <c r="F7" i="1"/>
  <c r="H7" i="1" s="1"/>
  <c r="F6" i="1"/>
  <c r="H6" i="1" s="1"/>
  <c r="F5" i="1"/>
  <c r="H5" i="1" s="1"/>
  <c r="N4" i="1"/>
  <c r="M4" i="1"/>
  <c r="L4" i="1"/>
  <c r="K4" i="1"/>
  <c r="J4" i="1"/>
  <c r="I4" i="1"/>
  <c r="H4" i="1"/>
  <c r="I13" i="1" l="1"/>
  <c r="H15" i="1"/>
  <c r="H29" i="1"/>
  <c r="H39" i="1"/>
  <c r="L65" i="1"/>
  <c r="M69" i="1"/>
  <c r="I73" i="1"/>
  <c r="L109" i="1"/>
  <c r="L111" i="1"/>
  <c r="J118" i="1"/>
  <c r="N13" i="1"/>
  <c r="J15" i="1"/>
  <c r="J29" i="1"/>
  <c r="L39" i="1"/>
  <c r="N89" i="1"/>
  <c r="H21" i="1"/>
  <c r="H23" i="1"/>
  <c r="I31" i="1"/>
  <c r="I47" i="1"/>
  <c r="J91" i="1"/>
  <c r="J97" i="1"/>
  <c r="J117" i="1"/>
  <c r="H9" i="1"/>
  <c r="H11" i="1"/>
  <c r="M15" i="1"/>
  <c r="K21" i="1"/>
  <c r="J23" i="1"/>
  <c r="H27" i="1"/>
  <c r="I30" i="1"/>
  <c r="J31" i="1"/>
  <c r="M42" i="1"/>
  <c r="I45" i="1"/>
  <c r="N58" i="1"/>
  <c r="H67" i="1"/>
  <c r="N73" i="1"/>
  <c r="I89" i="1"/>
  <c r="I90" i="1"/>
  <c r="H109" i="1"/>
  <c r="I110" i="1"/>
  <c r="I113" i="1"/>
  <c r="N117" i="1"/>
  <c r="H89" i="1"/>
  <c r="L9" i="1"/>
  <c r="K23" i="1"/>
  <c r="N30" i="1"/>
  <c r="J67" i="1"/>
  <c r="J89" i="1"/>
  <c r="N90" i="1"/>
  <c r="I109" i="1"/>
  <c r="J119" i="1"/>
  <c r="N119" i="1"/>
  <c r="N118" i="1"/>
  <c r="N74" i="1"/>
  <c r="H97" i="1"/>
  <c r="L99" i="1"/>
  <c r="H110" i="1"/>
  <c r="M111" i="1"/>
  <c r="N113" i="1"/>
  <c r="M114" i="1"/>
  <c r="J115" i="1"/>
  <c r="K26" i="1"/>
  <c r="J66" i="1"/>
  <c r="N114" i="1"/>
  <c r="M115" i="1"/>
  <c r="J38" i="1"/>
  <c r="I46" i="1"/>
  <c r="H50" i="1"/>
  <c r="J13" i="1"/>
  <c r="J17" i="1"/>
  <c r="J19" i="1"/>
  <c r="H25" i="1"/>
  <c r="M29" i="1"/>
  <c r="M31" i="1"/>
  <c r="J37" i="1"/>
  <c r="L50" i="1"/>
  <c r="J58" i="1"/>
  <c r="I59" i="1"/>
  <c r="L66" i="1"/>
  <c r="L67" i="1"/>
  <c r="M70" i="1"/>
  <c r="J73" i="1"/>
  <c r="I74" i="1"/>
  <c r="J75" i="1"/>
  <c r="M89" i="1"/>
  <c r="J90" i="1"/>
  <c r="I93" i="1"/>
  <c r="M94" i="1"/>
  <c r="M109" i="1"/>
  <c r="L110" i="1"/>
  <c r="I111" i="1"/>
  <c r="J113" i="1"/>
  <c r="I114" i="1"/>
  <c r="N115" i="1"/>
  <c r="H37" i="1"/>
  <c r="K41" i="1"/>
  <c r="M13" i="1"/>
  <c r="M25" i="1"/>
  <c r="H31" i="1"/>
  <c r="L37" i="1"/>
  <c r="M58" i="1"/>
  <c r="J59" i="1"/>
  <c r="M73" i="1"/>
  <c r="J74" i="1"/>
  <c r="M93" i="1"/>
  <c r="M110" i="1"/>
  <c r="M113" i="1"/>
  <c r="J114" i="1"/>
  <c r="I115" i="1"/>
  <c r="C14" i="2"/>
  <c r="C15" i="2"/>
  <c r="C16" i="2" s="1"/>
  <c r="K121" i="1"/>
  <c r="K122" i="1"/>
  <c r="K123" i="1"/>
  <c r="K118" i="1"/>
  <c r="H121" i="1"/>
  <c r="L121" i="1"/>
  <c r="H122" i="1"/>
  <c r="L122" i="1"/>
  <c r="L123" i="1"/>
  <c r="J109" i="1"/>
  <c r="N109" i="1"/>
  <c r="J110" i="1"/>
  <c r="N110" i="1"/>
  <c r="J111" i="1"/>
  <c r="N111" i="1"/>
  <c r="K113" i="1"/>
  <c r="K114" i="1"/>
  <c r="K115" i="1"/>
  <c r="H117" i="1"/>
  <c r="L117" i="1"/>
  <c r="H118" i="1"/>
  <c r="L118" i="1"/>
  <c r="H119" i="1"/>
  <c r="L119" i="1"/>
  <c r="I121" i="1"/>
  <c r="M121" i="1"/>
  <c r="I122" i="1"/>
  <c r="M122" i="1"/>
  <c r="I123" i="1"/>
  <c r="M123" i="1"/>
  <c r="K117" i="1"/>
  <c r="K119" i="1"/>
  <c r="H123" i="1"/>
  <c r="H113" i="1"/>
  <c r="H114" i="1"/>
  <c r="H115" i="1"/>
  <c r="I117" i="1"/>
  <c r="I118" i="1"/>
  <c r="I119" i="1"/>
  <c r="J121" i="1"/>
  <c r="J122" i="1"/>
  <c r="J123" i="1"/>
  <c r="N49" i="1"/>
  <c r="N98" i="1"/>
  <c r="H10" i="1"/>
  <c r="L11" i="1"/>
  <c r="L13" i="1"/>
  <c r="H14" i="1"/>
  <c r="M14" i="1"/>
  <c r="I15" i="1"/>
  <c r="N15" i="1"/>
  <c r="I18" i="1"/>
  <c r="K19" i="1"/>
  <c r="N21" i="1"/>
  <c r="I29" i="1"/>
  <c r="N29" i="1"/>
  <c r="J30" i="1"/>
  <c r="L31" i="1"/>
  <c r="N37" i="1"/>
  <c r="L38" i="1"/>
  <c r="J39" i="1"/>
  <c r="M41" i="1"/>
  <c r="H49" i="1"/>
  <c r="N50" i="1"/>
  <c r="L51" i="1"/>
  <c r="H57" i="1"/>
  <c r="M57" i="1"/>
  <c r="I61" i="1"/>
  <c r="I63" i="1"/>
  <c r="N65" i="1"/>
  <c r="L75" i="1"/>
  <c r="L91" i="1"/>
  <c r="H98" i="1"/>
  <c r="N99" i="1"/>
  <c r="L14" i="1"/>
  <c r="L57" i="1"/>
  <c r="L10" i="1"/>
  <c r="I14" i="1"/>
  <c r="N14" i="1"/>
  <c r="N18" i="1"/>
  <c r="L30" i="1"/>
  <c r="N38" i="1"/>
  <c r="J49" i="1"/>
  <c r="N51" i="1"/>
  <c r="I57" i="1"/>
  <c r="N57" i="1"/>
  <c r="L59" i="1"/>
  <c r="H65" i="1"/>
  <c r="N66" i="1"/>
  <c r="I71" i="1"/>
  <c r="L74" i="1"/>
  <c r="H75" i="1"/>
  <c r="M75" i="1"/>
  <c r="L90" i="1"/>
  <c r="H91" i="1"/>
  <c r="M91" i="1"/>
  <c r="I95" i="1"/>
  <c r="L97" i="1"/>
  <c r="J98" i="1"/>
  <c r="H99" i="1"/>
  <c r="J14" i="1"/>
  <c r="L15" i="1"/>
  <c r="M27" i="1"/>
  <c r="L29" i="1"/>
  <c r="H30" i="1"/>
  <c r="M30" i="1"/>
  <c r="N31" i="1"/>
  <c r="H38" i="1"/>
  <c r="N39" i="1"/>
  <c r="L49" i="1"/>
  <c r="J50" i="1"/>
  <c r="H51" i="1"/>
  <c r="J57" i="1"/>
  <c r="L58" i="1"/>
  <c r="H59" i="1"/>
  <c r="M59" i="1"/>
  <c r="I62" i="1"/>
  <c r="J65" i="1"/>
  <c r="H66" i="1"/>
  <c r="N67" i="1"/>
  <c r="I70" i="1"/>
  <c r="M71" i="1"/>
  <c r="L73" i="1"/>
  <c r="H74" i="1"/>
  <c r="M74" i="1"/>
  <c r="I75" i="1"/>
  <c r="N75" i="1"/>
  <c r="L89" i="1"/>
  <c r="H90" i="1"/>
  <c r="M90" i="1"/>
  <c r="I91" i="1"/>
  <c r="N91" i="1"/>
  <c r="M95" i="1"/>
  <c r="N97" i="1"/>
  <c r="L98" i="1"/>
  <c r="J99" i="1"/>
  <c r="K85" i="1"/>
  <c r="K86" i="1"/>
  <c r="K87" i="1"/>
  <c r="K101" i="1"/>
  <c r="K102" i="1"/>
  <c r="K103" i="1"/>
  <c r="H85" i="1"/>
  <c r="L85" i="1"/>
  <c r="H86" i="1"/>
  <c r="L86" i="1"/>
  <c r="H87" i="1"/>
  <c r="L87" i="1"/>
  <c r="J93" i="1"/>
  <c r="N93" i="1"/>
  <c r="J94" i="1"/>
  <c r="N94" i="1"/>
  <c r="J95" i="1"/>
  <c r="N95" i="1"/>
  <c r="K97" i="1"/>
  <c r="K98" i="1"/>
  <c r="K99" i="1"/>
  <c r="H101" i="1"/>
  <c r="L101" i="1"/>
  <c r="H102" i="1"/>
  <c r="L102" i="1"/>
  <c r="H103" i="1"/>
  <c r="L103" i="1"/>
  <c r="I85" i="1"/>
  <c r="M86" i="1"/>
  <c r="I87" i="1"/>
  <c r="M87" i="1"/>
  <c r="K93" i="1"/>
  <c r="K94" i="1"/>
  <c r="I101" i="1"/>
  <c r="M101" i="1"/>
  <c r="I102" i="1"/>
  <c r="M102" i="1"/>
  <c r="I103" i="1"/>
  <c r="M103" i="1"/>
  <c r="M85" i="1"/>
  <c r="I86" i="1"/>
  <c r="K95" i="1"/>
  <c r="J85" i="1"/>
  <c r="J86" i="1"/>
  <c r="J87" i="1"/>
  <c r="H93" i="1"/>
  <c r="H94" i="1"/>
  <c r="H95" i="1"/>
  <c r="I97" i="1"/>
  <c r="I98" i="1"/>
  <c r="I99" i="1"/>
  <c r="J101" i="1"/>
  <c r="J102" i="1"/>
  <c r="J103" i="1"/>
  <c r="K6" i="1"/>
  <c r="K7" i="1"/>
  <c r="M22" i="1"/>
  <c r="I22" i="1"/>
  <c r="N34" i="1"/>
  <c r="J34" i="1"/>
  <c r="L34" i="1"/>
  <c r="H34" i="1"/>
  <c r="N35" i="1"/>
  <c r="J35" i="1"/>
  <c r="L35" i="1"/>
  <c r="H35" i="1"/>
  <c r="L53" i="1"/>
  <c r="H53" i="1"/>
  <c r="N53" i="1"/>
  <c r="J53" i="1"/>
  <c r="L54" i="1"/>
  <c r="H54" i="1"/>
  <c r="N54" i="1"/>
  <c r="J54" i="1"/>
  <c r="L5" i="1"/>
  <c r="L6" i="1"/>
  <c r="L7" i="1"/>
  <c r="I9" i="1"/>
  <c r="I10" i="1"/>
  <c r="M10" i="1"/>
  <c r="M11" i="1"/>
  <c r="L17" i="1"/>
  <c r="H17" i="1"/>
  <c r="M17" i="1"/>
  <c r="J18" i="1"/>
  <c r="N26" i="1"/>
  <c r="J26" i="1"/>
  <c r="I27" i="1"/>
  <c r="I34" i="1"/>
  <c r="L42" i="1"/>
  <c r="H42" i="1"/>
  <c r="N42" i="1"/>
  <c r="J42" i="1"/>
  <c r="K45" i="1"/>
  <c r="K46" i="1"/>
  <c r="K47" i="1"/>
  <c r="I53" i="1"/>
  <c r="I5" i="1"/>
  <c r="M5" i="1"/>
  <c r="I6" i="1"/>
  <c r="M6" i="1"/>
  <c r="I7" i="1"/>
  <c r="M7" i="1"/>
  <c r="J9" i="1"/>
  <c r="N9" i="1"/>
  <c r="J10" i="1"/>
  <c r="N10" i="1"/>
  <c r="J11" i="1"/>
  <c r="N11" i="1"/>
  <c r="I17" i="1"/>
  <c r="N17" i="1"/>
  <c r="I19" i="1"/>
  <c r="M21" i="1"/>
  <c r="I21" i="1"/>
  <c r="L21" i="1"/>
  <c r="J22" i="1"/>
  <c r="M23" i="1"/>
  <c r="I23" i="1"/>
  <c r="L23" i="1"/>
  <c r="H26" i="1"/>
  <c r="M26" i="1"/>
  <c r="K33" i="1"/>
  <c r="K34" i="1"/>
  <c r="K35" i="1"/>
  <c r="I42" i="1"/>
  <c r="K53" i="1"/>
  <c r="K54" i="1"/>
  <c r="K55" i="1"/>
  <c r="K5" i="1"/>
  <c r="J5" i="1"/>
  <c r="N5" i="1"/>
  <c r="J6" i="1"/>
  <c r="N6" i="1"/>
  <c r="J7" i="1"/>
  <c r="N7" i="1"/>
  <c r="K9" i="1"/>
  <c r="K11" i="1"/>
  <c r="L18" i="1"/>
  <c r="H18" i="1"/>
  <c r="M18" i="1"/>
  <c r="K22" i="1"/>
  <c r="N25" i="1"/>
  <c r="J25" i="1"/>
  <c r="L25" i="1"/>
  <c r="N27" i="1"/>
  <c r="J27" i="1"/>
  <c r="L27" i="1"/>
  <c r="M34" i="1"/>
  <c r="M35" i="1"/>
  <c r="N45" i="1"/>
  <c r="J45" i="1"/>
  <c r="L45" i="1"/>
  <c r="H45" i="1"/>
  <c r="N46" i="1"/>
  <c r="J46" i="1"/>
  <c r="L46" i="1"/>
  <c r="H46" i="1"/>
  <c r="N47" i="1"/>
  <c r="J47" i="1"/>
  <c r="L47" i="1"/>
  <c r="H47" i="1"/>
  <c r="M53" i="1"/>
  <c r="M54" i="1"/>
  <c r="N61" i="1"/>
  <c r="J61" i="1"/>
  <c r="L61" i="1"/>
  <c r="H61" i="1"/>
  <c r="N62" i="1"/>
  <c r="J62" i="1"/>
  <c r="L62" i="1"/>
  <c r="H62" i="1"/>
  <c r="N63" i="1"/>
  <c r="J63" i="1"/>
  <c r="L63" i="1"/>
  <c r="H63" i="1"/>
  <c r="L69" i="1"/>
  <c r="H69" i="1"/>
  <c r="N69" i="1"/>
  <c r="J69" i="1"/>
  <c r="L70" i="1"/>
  <c r="H70" i="1"/>
  <c r="N70" i="1"/>
  <c r="J70" i="1"/>
  <c r="L71" i="1"/>
  <c r="H71" i="1"/>
  <c r="N71" i="1"/>
  <c r="J71" i="1"/>
  <c r="L22" i="1"/>
  <c r="N33" i="1"/>
  <c r="J33" i="1"/>
  <c r="L33" i="1"/>
  <c r="H33" i="1"/>
  <c r="L55" i="1"/>
  <c r="H55" i="1"/>
  <c r="N55" i="1"/>
  <c r="J55" i="1"/>
  <c r="L19" i="1"/>
  <c r="H19" i="1"/>
  <c r="M19" i="1"/>
  <c r="H22" i="1"/>
  <c r="N22" i="1"/>
  <c r="I25" i="1"/>
  <c r="L26" i="1"/>
  <c r="I33" i="1"/>
  <c r="I35" i="1"/>
  <c r="L41" i="1"/>
  <c r="H41" i="1"/>
  <c r="N41" i="1"/>
  <c r="J41" i="1"/>
  <c r="I54" i="1"/>
  <c r="I55" i="1"/>
  <c r="K61" i="1"/>
  <c r="K62" i="1"/>
  <c r="K63" i="1"/>
  <c r="K77" i="1"/>
  <c r="K78" i="1"/>
  <c r="K79" i="1"/>
  <c r="I37" i="1"/>
  <c r="M37" i="1"/>
  <c r="I38" i="1"/>
  <c r="M38" i="1"/>
  <c r="I39" i="1"/>
  <c r="M39" i="1"/>
  <c r="I49" i="1"/>
  <c r="M49" i="1"/>
  <c r="I50" i="1"/>
  <c r="M50" i="1"/>
  <c r="I51" i="1"/>
  <c r="M51" i="1"/>
  <c r="I65" i="1"/>
  <c r="M65" i="1"/>
  <c r="I66" i="1"/>
  <c r="M66" i="1"/>
  <c r="I67" i="1"/>
  <c r="M67" i="1"/>
  <c r="H77" i="1"/>
  <c r="L77" i="1"/>
  <c r="H78" i="1"/>
  <c r="L78" i="1"/>
  <c r="H79" i="1"/>
  <c r="L79" i="1"/>
  <c r="I77" i="1"/>
  <c r="M77" i="1"/>
  <c r="I78" i="1"/>
  <c r="M78" i="1"/>
  <c r="I79" i="1"/>
  <c r="M79" i="1"/>
  <c r="J77" i="1"/>
  <c r="J78" i="1"/>
  <c r="J79" i="1"/>
</calcChain>
</file>

<file path=xl/sharedStrings.xml><?xml version="1.0" encoding="utf-8"?>
<sst xmlns="http://schemas.openxmlformats.org/spreadsheetml/2006/main" count="158" uniqueCount="117">
  <si>
    <t>รุ่นรถ</t>
  </si>
  <si>
    <t>รหัสรถ</t>
  </si>
  <si>
    <t>ราคาจัด</t>
  </si>
  <si>
    <t>ดอกเบี้ย
(ต่อเดือน)</t>
  </si>
  <si>
    <t>%ดาวน์</t>
  </si>
  <si>
    <t>ดาวน์</t>
  </si>
  <si>
    <t>ค่าจด/พรบ.</t>
  </si>
  <si>
    <t>รวมออกรถ</t>
  </si>
  <si>
    <t>ตารางผ่อน</t>
  </si>
  <si>
    <t>12</t>
  </si>
  <si>
    <t>18</t>
  </si>
  <si>
    <t>24</t>
  </si>
  <si>
    <t>30</t>
  </si>
  <si>
    <t>36</t>
  </si>
  <si>
    <t>48</t>
  </si>
  <si>
    <t>ฟาซซิโอ้ SMK</t>
  </si>
  <si>
    <t>BKF700</t>
  </si>
  <si>
    <t>ฟาซซิโอ้ Lite</t>
  </si>
  <si>
    <t>BKFB00</t>
  </si>
  <si>
    <t>BKFD00</t>
  </si>
  <si>
    <t>ฟาซซิโอ้ Edi+SMK</t>
  </si>
  <si>
    <t>BKFE00</t>
  </si>
  <si>
    <t>ฟาซซิโอ้ Lite Ver</t>
  </si>
  <si>
    <t>BKFF00</t>
  </si>
  <si>
    <t>แกรนด์ฟีลาโน่</t>
  </si>
  <si>
    <t>BJK600</t>
  </si>
  <si>
    <t>BJKA00</t>
  </si>
  <si>
    <t>แกรนด์ฟีลาโน่2026 2026</t>
  </si>
  <si>
    <t>BJKC00</t>
  </si>
  <si>
    <t>แกรนด์ฟีลาโน่ 2026</t>
  </si>
  <si>
    <t>BJKD00</t>
  </si>
  <si>
    <t>แกรนด์ฟีลาโน่  Edi+SMK</t>
  </si>
  <si>
    <t>BJKE00</t>
  </si>
  <si>
    <t>เอ็นแม็ก 2025</t>
  </si>
  <si>
    <t>BTF100</t>
  </si>
  <si>
    <t>เอ็นแม็ก เท็กแม็ก 2026</t>
  </si>
  <si>
    <t>BTM200</t>
  </si>
  <si>
    <t>เอ็นแม็ก  2026</t>
  </si>
  <si>
    <t>BTF200</t>
  </si>
  <si>
    <t>เอ็นแม็ก 2026 25TH</t>
  </si>
  <si>
    <t>BTF300</t>
  </si>
  <si>
    <t>เอ็กซ์แม็กซ์  STD 2026</t>
  </si>
  <si>
    <t>DR9200</t>
  </si>
  <si>
    <t>เอ็กซ์แม็กซ์  TECH Max 2026</t>
  </si>
  <si>
    <t>BKAW00</t>
  </si>
  <si>
    <t>Aerox 155   2026</t>
  </si>
  <si>
    <t>BWR100</t>
  </si>
  <si>
    <t>Aerox 155  SP 2026</t>
  </si>
  <si>
    <t>D13100</t>
  </si>
  <si>
    <t>ฟาซซิโอ้UBS/ครอปไฟเลี้ยวหน้า-หลั</t>
  </si>
  <si>
    <t>ตารางโปรโมชันรถจักรยานยนต์ - กลุ่ม Moped</t>
  </si>
  <si>
    <t>ฟินน์/ล้อแม็ก/UBS/2024</t>
  </si>
  <si>
    <t>DT0400</t>
  </si>
  <si>
    <t>ฟินน์ 2026  SMART KEY</t>
  </si>
  <si>
    <t>DA6100</t>
  </si>
  <si>
    <t>ฟินน์ 2026 STD</t>
  </si>
  <si>
    <t>DA6200</t>
  </si>
  <si>
    <t>ฟินน์ 2026 ซี่ลวด</t>
  </si>
  <si>
    <t>DA6300</t>
  </si>
  <si>
    <t>เอ็กซ์ไซเตอร์</t>
  </si>
  <si>
    <t>BWK300</t>
  </si>
  <si>
    <t>ตารางโปรโมชันรถจักรยานยนต์ - กลุ่ม Auto</t>
  </si>
  <si>
    <t>ตารางโปรโมชันรถจักรยานยนต์ - กลุ่ม Sport</t>
  </si>
  <si>
    <t xml:space="preserve">WR155R </t>
  </si>
  <si>
    <t xml:space="preserve">B3MA00 </t>
  </si>
  <si>
    <t>PG-1/2026/ ABS</t>
  </si>
  <si>
    <t>D18100</t>
  </si>
  <si>
    <t>PG-1Special Edition</t>
  </si>
  <si>
    <t>D18300</t>
  </si>
  <si>
    <t>R15สตาร์ทมือ/ดิสก์เบรก/ล้อแม็ก</t>
  </si>
  <si>
    <t>BNCC00</t>
  </si>
  <si>
    <t>ตารางโปรโมชันรถจักรยานยนต์ฮอนด้า (รถใหม่)</t>
  </si>
  <si>
    <t>รหัสรถ/สี</t>
  </si>
  <si>
    <t>เงินดาวน์</t>
  </si>
  <si>
    <t>12 งวด</t>
  </si>
  <si>
    <t>24 งวด</t>
  </si>
  <si>
    <t>36 งวด</t>
  </si>
  <si>
    <t>48 งวด</t>
  </si>
  <si>
    <t>AFS125CSBT TH</t>
  </si>
  <si>
    <t>AFS110MCBT TH</t>
  </si>
  <si>
    <t>ACF125CBT</t>
  </si>
  <si>
    <t>AFS110MCBT 3TH</t>
  </si>
  <si>
    <t>ตารางคำนวณค่างวดรถมอเตอร์ไซค์ (Flat Rate Calculator)</t>
  </si>
  <si>
    <t>สูตรคำนวณดอกเบี้ยคงที่ (Flat Rate) มาตรฐานไฟแนนซ์รถจักรยานยนต์ พร้อมตารางสำเร็จรูป</t>
  </si>
  <si>
    <t xml:space="preserve"> เครื่องคำนวณค่างวดเดี่ยว (Interactive Single Calculator)</t>
  </si>
  <si>
    <t xml:space="preserve"> สูตรการคำนวณ Flat Rate (ดอกเบี้ยคงที่)</t>
  </si>
  <si>
    <t>ชื่อรุ่นรถ / Model:</t>
  </si>
  <si>
    <t>HONDA GIORNO+ (CBS)</t>
  </si>
  <si>
    <t>1. ยอดจัด = (ราคารถ + ค่าดำเนินการ) - เงินดาวน์</t>
  </si>
  <si>
    <t>ราคาสดตัวรถ (Cash Price):</t>
  </si>
  <si>
    <t>2. ดอกเบี้ยรวม = ยอดจัด × ดอกเบี้ยต่อเดือน × จำนวนงวด</t>
  </si>
  <si>
    <t>บวกค่า พรบ./ทะเบียน/ประกันรถหาย (รวมในยอดจัด):</t>
  </si>
  <si>
    <t xml:space="preserve">   (หากเป็นดอกเบี้ยต่อปี: ยอดจัด × ดอกเบี้ยต่อปี × (งวด ÷ 12))</t>
  </si>
  <si>
    <t>รวมราคารถสุทธิ (Net Price):</t>
  </si>
  <si>
    <t>3. ยอดรวมทั้งสิ้น = ยอดจัด + ดอกเบี้ยรวม</t>
  </si>
  <si>
    <t>เงินดาวน์ (Down Payment):</t>
  </si>
  <si>
    <t>4. ค่างวดต่อเดือน = ยอดรวมทั้งสิ้น ÷ จำนวนงวด</t>
  </si>
  <si>
    <t>ยอดจัดไฟแนนซ์ (Financing Amount):</t>
  </si>
  <si>
    <t>--------------------------------------------------------</t>
  </si>
  <si>
    <t>อัตราดอกเบี้ยต่อเดือน (Flat Rate / Month %):</t>
  </si>
  <si>
    <t>หมายเหตุวงการไฟแนนซ์มอเตอร์ไซค์:</t>
  </si>
  <si>
    <t>ระยะเวลาผ่อน (จำนวนงวด / Months):</t>
  </si>
  <si>
    <t>• ดอกเบี้ยมอเตอร์ไซค์ขนาดเล็ก (&lt;200cc) นิยมคิดเป็น % ต่อเดือน</t>
  </si>
  <si>
    <t>รวมดอกเบี้ยทั้งหมด (Total Interest):</t>
  </si>
  <si>
    <t>• ดอกเบี้ย Big Bike (&gt;200cc เช่น XMAX) นิยมคิดเป็น % ต่อปี</t>
  </si>
  <si>
    <t>ยอดหนี้รวมทั้งหมด (Total Debt):</t>
  </si>
  <si>
    <t>• โปร 'ฟรีดาวน์ / 0%' มักนำค่าประกัน/ทะเบียนไปรวมในยอดจัด</t>
  </si>
  <si>
    <t>ค่างวดต่อเดือน (Monthly Payment):</t>
  </si>
  <si>
    <t>• สามารถปรับตัวเลขในช่องสีเหลืองอ่อนเพื่อคำนวณได้ทันที</t>
  </si>
  <si>
    <t xml:space="preserve"> ค่า  พรบ./ทะเบียน/ประกันรถหาย </t>
  </si>
  <si>
    <t xml:space="preserve">ออกรถได้ </t>
  </si>
  <si>
    <t>18 งวด</t>
  </si>
  <si>
    <t>30 งวด</t>
  </si>
  <si>
    <t xml:space="preserve">Wave 125 กุญแจธรรมดา /2026  </t>
  </si>
  <si>
    <t>Wave 110 แม็ก-มือ</t>
  </si>
  <si>
    <t xml:space="preserve">GIORNO+ CBS  2 คัน </t>
  </si>
  <si>
    <t>Wave 110 แม็ก-มือ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</si>
</sst>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Tahoma"/>
      <family val="2"/>
      <charset val="222"/>
      <scheme val="minor"/>
    </font>
    <font>
      <b/>
      <sz val="11"/>
      <name val="Tahoma"/>
      <family val="2"/>
    </font>
    <font>
      <b/>
      <sz val="11"/>
      <color rgb="FFFF0000"/>
      <name val="Tahoma"/>
      <family val="2"/>
    </font>
    <font>
      <b/>
      <sz val="16"/>
      <color rgb="FFFF0000"/>
      <name val="Tahoma"/>
      <family val="2"/>
    </font>
    <font>
      <sz val="11"/>
      <color rgb="FFFF0000"/>
      <name val="Tahoma"/>
      <family val="2"/>
      <scheme val="minor"/>
    </font>
    <font>
      <b/>
      <sz val="16"/>
      <color rgb="FFFFFFFF"/>
      <name val="Tahoma"/>
      <family val="2"/>
    </font>
    <font>
      <sz val="11"/>
      <color theme="1"/>
      <name val="Tahoma"/>
      <family val="2"/>
      <scheme val="minor"/>
    </font>
    <font>
      <sz val="14"/>
      <color theme="1"/>
      <name val="Prompt"/>
    </font>
    <font>
      <b/>
      <sz val="14"/>
      <color rgb="FFFFFFFF"/>
      <name val="Prompt"/>
    </font>
    <font>
      <i/>
      <sz val="14"/>
      <color rgb="FF595959"/>
      <name val="Prompt"/>
    </font>
    <font>
      <b/>
      <sz val="14"/>
      <color rgb="FF1F4E79"/>
      <name val="Prompt"/>
    </font>
    <font>
      <sz val="14"/>
      <name val="Prompt"/>
    </font>
    <font>
      <sz val="14"/>
      <color rgb="FF595959"/>
      <name val="Prompt"/>
    </font>
    <font>
      <b/>
      <sz val="14"/>
      <name val="Prompt"/>
    </font>
    <font>
      <b/>
      <sz val="14"/>
      <color rgb="FFC00000"/>
      <name val="Prompt"/>
    </font>
    <font>
      <sz val="8"/>
      <name val="Tahoma"/>
      <family val="2"/>
      <charset val="22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  <fill>
      <patternFill patternType="solid">
        <fgColor rgb="FFF9FAFB"/>
        <bgColor rgb="FFF9FAFB"/>
      </patternFill>
    </fill>
    <fill>
      <patternFill patternType="solid">
        <fgColor rgb="FFFFFFF0"/>
        <bgColor rgb="FFFFFFF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9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3" xfId="0" applyBorder="1"/>
    <xf numFmtId="3" fontId="0" fillId="7" borderId="1" xfId="0" applyNumberForma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8" fillId="9" borderId="4" xfId="1" applyFont="1" applyFill="1" applyBorder="1" applyAlignment="1">
      <alignment vertical="center"/>
    </xf>
    <xf numFmtId="0" fontId="11" fillId="0" borderId="5" xfId="1" applyFont="1" applyBorder="1" applyAlignment="1">
      <alignment horizontal="center" vertical="center"/>
    </xf>
    <xf numFmtId="0" fontId="10" fillId="10" borderId="6" xfId="1" applyFont="1" applyFill="1" applyBorder="1" applyAlignment="1">
      <alignment vertical="center"/>
    </xf>
    <xf numFmtId="0" fontId="10" fillId="10" borderId="7" xfId="1" applyFont="1" applyFill="1" applyBorder="1" applyAlignment="1">
      <alignment vertical="center"/>
    </xf>
    <xf numFmtId="0" fontId="10" fillId="10" borderId="8" xfId="1" applyFont="1" applyFill="1" applyBorder="1" applyAlignment="1">
      <alignment vertical="center"/>
    </xf>
    <xf numFmtId="0" fontId="11" fillId="11" borderId="5" xfId="1" applyFont="1" applyFill="1" applyBorder="1" applyAlignment="1">
      <alignment horizontal="center" vertical="center"/>
    </xf>
    <xf numFmtId="0" fontId="12" fillId="10" borderId="6" xfId="1" applyFont="1" applyFill="1" applyBorder="1" applyAlignment="1">
      <alignment vertical="center"/>
    </xf>
    <xf numFmtId="0" fontId="12" fillId="10" borderId="7" xfId="1" applyFont="1" applyFill="1" applyBorder="1" applyAlignment="1">
      <alignment vertical="center"/>
    </xf>
    <xf numFmtId="0" fontId="12" fillId="10" borderId="8" xfId="1" applyFont="1" applyFill="1" applyBorder="1" applyAlignment="1">
      <alignment vertical="center"/>
    </xf>
    <xf numFmtId="0" fontId="13" fillId="0" borderId="5" xfId="1" applyFont="1" applyBorder="1" applyAlignment="1">
      <alignment horizontal="center" vertical="center"/>
    </xf>
    <xf numFmtId="0" fontId="14" fillId="3" borderId="5" xfId="1" applyFont="1" applyFill="1" applyBorder="1" applyAlignment="1">
      <alignment horizontal="center" vertical="center"/>
    </xf>
    <xf numFmtId="0" fontId="14" fillId="3" borderId="0" xfId="1" applyFont="1" applyFill="1" applyAlignment="1">
      <alignment horizontal="center" vertical="center"/>
    </xf>
    <xf numFmtId="3" fontId="14" fillId="3" borderId="0" xfId="1" applyNumberFormat="1" applyFont="1" applyFill="1" applyAlignment="1">
      <alignment horizontal="center" vertical="center"/>
    </xf>
    <xf numFmtId="0" fontId="12" fillId="10" borderId="0" xfId="1" applyFont="1" applyFill="1" applyAlignment="1">
      <alignment horizontal="center" vertical="center"/>
    </xf>
    <xf numFmtId="0" fontId="7" fillId="10" borderId="0" xfId="1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3" fontId="0" fillId="4" borderId="1" xfId="0" applyNumberFormat="1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5" borderId="0" xfId="0" applyFont="1" applyFill="1"/>
    <xf numFmtId="3" fontId="13" fillId="0" borderId="6" xfId="1" applyNumberFormat="1" applyFont="1" applyBorder="1" applyAlignment="1">
      <alignment horizontal="center" vertical="center"/>
    </xf>
    <xf numFmtId="3" fontId="13" fillId="0" borderId="7" xfId="1" applyNumberFormat="1" applyFont="1" applyBorder="1" applyAlignment="1">
      <alignment horizontal="center" vertical="center"/>
    </xf>
    <xf numFmtId="3" fontId="13" fillId="0" borderId="8" xfId="1" applyNumberFormat="1" applyFont="1" applyBorder="1" applyAlignment="1">
      <alignment horizontal="center" vertical="center"/>
    </xf>
    <xf numFmtId="3" fontId="14" fillId="3" borderId="6" xfId="1" applyNumberFormat="1" applyFont="1" applyFill="1" applyBorder="1" applyAlignment="1">
      <alignment horizontal="center" vertical="center"/>
    </xf>
    <xf numFmtId="3" fontId="14" fillId="3" borderId="7" xfId="1" applyNumberFormat="1" applyFont="1" applyFill="1" applyBorder="1" applyAlignment="1">
      <alignment horizontal="center" vertical="center"/>
    </xf>
    <xf numFmtId="3" fontId="14" fillId="3" borderId="8" xfId="1" applyNumberFormat="1" applyFont="1" applyFill="1" applyBorder="1" applyAlignment="1">
      <alignment horizontal="center" vertical="center"/>
    </xf>
    <xf numFmtId="3" fontId="11" fillId="11" borderId="6" xfId="1" applyNumberFormat="1" applyFont="1" applyFill="1" applyBorder="1" applyAlignment="1">
      <alignment horizontal="center" vertical="center"/>
    </xf>
    <xf numFmtId="3" fontId="11" fillId="11" borderId="7" xfId="1" applyNumberFormat="1" applyFont="1" applyFill="1" applyBorder="1" applyAlignment="1">
      <alignment horizontal="center" vertical="center"/>
    </xf>
    <xf numFmtId="3" fontId="11" fillId="11" borderId="8" xfId="1" applyNumberFormat="1" applyFont="1" applyFill="1" applyBorder="1" applyAlignment="1">
      <alignment horizontal="center" vertical="center"/>
    </xf>
    <xf numFmtId="10" fontId="11" fillId="11" borderId="6" xfId="1" applyNumberFormat="1" applyFont="1" applyFill="1" applyBorder="1" applyAlignment="1">
      <alignment horizontal="center" vertical="center"/>
    </xf>
    <xf numFmtId="10" fontId="11" fillId="11" borderId="7" xfId="1" applyNumberFormat="1" applyFont="1" applyFill="1" applyBorder="1" applyAlignment="1">
      <alignment horizontal="center" vertical="center"/>
    </xf>
    <xf numFmtId="10" fontId="11" fillId="11" borderId="8" xfId="1" applyNumberFormat="1" applyFont="1" applyFill="1" applyBorder="1" applyAlignment="1">
      <alignment horizontal="center" vertical="center"/>
    </xf>
    <xf numFmtId="1" fontId="11" fillId="11" borderId="6" xfId="1" applyNumberFormat="1" applyFont="1" applyFill="1" applyBorder="1" applyAlignment="1">
      <alignment horizontal="center" vertical="center"/>
    </xf>
    <xf numFmtId="1" fontId="11" fillId="11" borderId="7" xfId="1" applyNumberFormat="1" applyFont="1" applyFill="1" applyBorder="1" applyAlignment="1">
      <alignment horizontal="center" vertical="center"/>
    </xf>
    <xf numFmtId="1" fontId="11" fillId="11" borderId="8" xfId="1" applyNumberFormat="1" applyFont="1" applyFill="1" applyBorder="1" applyAlignment="1">
      <alignment horizontal="center" vertical="center"/>
    </xf>
    <xf numFmtId="3" fontId="11" fillId="0" borderId="6" xfId="1" applyNumberFormat="1" applyFont="1" applyBorder="1" applyAlignment="1">
      <alignment horizontal="center" vertical="center"/>
    </xf>
    <xf numFmtId="3" fontId="11" fillId="0" borderId="7" xfId="1" applyNumberFormat="1" applyFont="1" applyBorder="1" applyAlignment="1">
      <alignment horizontal="center" vertical="center"/>
    </xf>
    <xf numFmtId="3" fontId="11" fillId="0" borderId="8" xfId="1" applyNumberFormat="1" applyFont="1" applyBorder="1" applyAlignment="1">
      <alignment horizontal="center" vertical="center"/>
    </xf>
    <xf numFmtId="0" fontId="8" fillId="6" borderId="0" xfId="1" applyFont="1" applyFill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8" borderId="4" xfId="1" applyFont="1" applyFill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</cellXfs>
  <cellStyles count="2">
    <cellStyle name="ปกติ" xfId="0" builtinId="0"/>
    <cellStyle name="ปกติ 2" xfId="1" xr:uid="{F4967C56-F262-4425-BDA7-E655B91174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DBF1-D823-493D-B62B-AA6173DA1223}">
  <dimension ref="A1:O143"/>
  <sheetViews>
    <sheetView tabSelected="1" topLeftCell="A127" workbookViewId="0">
      <selection activeCell="E126" sqref="E126:E127"/>
    </sheetView>
  </sheetViews>
  <sheetFormatPr defaultRowHeight="14.25" x14ac:dyDescent="0.2"/>
  <sheetData>
    <row r="1" spans="1:14" ht="30" customHeight="1" x14ac:dyDescent="0.2">
      <c r="A1" s="33" t="s">
        <v>61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x14ac:dyDescent="0.2">
      <c r="A2" s="35" t="s">
        <v>0</v>
      </c>
      <c r="B2" s="35" t="s">
        <v>1</v>
      </c>
      <c r="C2" s="35" t="s">
        <v>2</v>
      </c>
      <c r="D2" s="35" t="s">
        <v>3</v>
      </c>
      <c r="E2" s="35" t="s">
        <v>4</v>
      </c>
      <c r="F2" s="35" t="s">
        <v>5</v>
      </c>
      <c r="G2" s="35" t="s">
        <v>6</v>
      </c>
      <c r="H2" s="35" t="s">
        <v>7</v>
      </c>
      <c r="I2" s="35" t="s">
        <v>8</v>
      </c>
      <c r="J2" s="35"/>
      <c r="K2" s="35"/>
      <c r="L2" s="35"/>
      <c r="M2" s="35"/>
      <c r="N2" s="35"/>
    </row>
    <row r="3" spans="1:14" x14ac:dyDescent="0.2">
      <c r="A3" s="35"/>
      <c r="B3" s="35"/>
      <c r="C3" s="35"/>
      <c r="D3" s="35"/>
      <c r="E3" s="35"/>
      <c r="F3" s="35"/>
      <c r="G3" s="35"/>
      <c r="H3" s="35"/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36" t="s">
        <v>15</v>
      </c>
      <c r="B4" s="36" t="s">
        <v>16</v>
      </c>
      <c r="C4" s="31">
        <v>54600</v>
      </c>
      <c r="D4" s="32">
        <v>1.4999999999999999E-2</v>
      </c>
      <c r="E4" s="3">
        <v>0</v>
      </c>
      <c r="F4" s="4">
        <v>0</v>
      </c>
      <c r="G4" s="31">
        <v>1000</v>
      </c>
      <c r="H4" s="5">
        <f>F4+G4</f>
        <v>1000</v>
      </c>
      <c r="I4" s="5">
        <f>ROUNDUP(((C4-F4) + ((C4-F4)*D4*12))/12, 0)</f>
        <v>5369</v>
      </c>
      <c r="J4" s="5">
        <f>ROUNDUP(((C4-F4) + ((C4-F4)*D4*18))/18, 0)</f>
        <v>3853</v>
      </c>
      <c r="K4" s="5">
        <f>ROUNDUP(((C4-F4) + ((C4-F4)*D4*24))/24, 0)</f>
        <v>3094</v>
      </c>
      <c r="L4" s="5">
        <f>ROUNDUP(((C4-F4) + ((C4-F4)*D4*30))/30, 0)</f>
        <v>2639</v>
      </c>
      <c r="M4" s="5">
        <f>ROUNDUP(((C4-F4) + ((C4-F4)*D4*36))/36, 0)</f>
        <v>2336</v>
      </c>
      <c r="N4" s="6">
        <f>ROUNDUP(((C4-F4) + ((C4-F4)*D4*48))/48, 0)</f>
        <v>1957</v>
      </c>
    </row>
    <row r="5" spans="1:14" x14ac:dyDescent="0.2">
      <c r="A5" s="29"/>
      <c r="B5" s="29"/>
      <c r="C5" s="29"/>
      <c r="D5" s="29"/>
      <c r="E5" s="8">
        <v>0.05</v>
      </c>
      <c r="F5" s="9">
        <f>ROUND(C4*E5, 0)</f>
        <v>2730</v>
      </c>
      <c r="G5" s="29"/>
      <c r="H5" s="9">
        <f>F5+G4</f>
        <v>3730</v>
      </c>
      <c r="I5" s="9">
        <f>ROUNDUP(((C4-F5) + ((C4-F5)*D4*12))/12, 0)</f>
        <v>5101</v>
      </c>
      <c r="J5" s="9">
        <f>ROUNDUP(((C4-F5) + ((C4-F5)*D4*18))/18, 0)</f>
        <v>3660</v>
      </c>
      <c r="K5" s="9">
        <f>ROUNDUP(((C4-F5) + ((C4-F5)*D4*24))/24, 0)</f>
        <v>2940</v>
      </c>
      <c r="L5" s="9">
        <f>ROUNDUP(((C4-F5) + ((C4-F5)*D4*30))/30, 0)</f>
        <v>2508</v>
      </c>
      <c r="M5" s="9">
        <f>ROUNDUP(((C4-F5) + ((C4-F5)*D4*36))/36, 0)</f>
        <v>2219</v>
      </c>
      <c r="N5" s="9">
        <f>ROUNDUP(((C4-F5) + ((C4-F5)*D4*48))/48, 0)</f>
        <v>1859</v>
      </c>
    </row>
    <row r="6" spans="1:14" x14ac:dyDescent="0.2">
      <c r="A6" s="29"/>
      <c r="B6" s="29"/>
      <c r="C6" s="29"/>
      <c r="D6" s="29"/>
      <c r="E6" s="8">
        <v>0.1</v>
      </c>
      <c r="F6" s="9">
        <f>ROUND(C4*E6, 0)</f>
        <v>5460</v>
      </c>
      <c r="G6" s="29"/>
      <c r="H6" s="9">
        <f>F6+G4</f>
        <v>6460</v>
      </c>
      <c r="I6" s="9">
        <f>ROUNDUP(((C4-F6) + ((C4-F6)*D4*12))/12, 0)</f>
        <v>4833</v>
      </c>
      <c r="J6" s="9">
        <f>ROUNDUP(((C4-F6) + ((C4-F6)*D4*18))/18, 0)</f>
        <v>3468</v>
      </c>
      <c r="K6" s="9">
        <f>ROUNDUP(((C4-F6) + ((C4-F6)*D4*24))/24, 0)</f>
        <v>2785</v>
      </c>
      <c r="L6" s="9">
        <f>ROUNDUP(((C4-F6) + ((C4-F6)*D4*30))/30, 0)</f>
        <v>2376</v>
      </c>
      <c r="M6" s="9">
        <f>ROUNDUP(((C4-F6) + ((C4-F6)*D4*36))/36, 0)</f>
        <v>2103</v>
      </c>
      <c r="N6" s="9">
        <f>ROUNDUP(((C4-F6) + ((C4-F6)*D4*48))/48, 0)</f>
        <v>1761</v>
      </c>
    </row>
    <row r="7" spans="1:14" x14ac:dyDescent="0.2">
      <c r="A7" s="30"/>
      <c r="B7" s="30"/>
      <c r="C7" s="30"/>
      <c r="D7" s="30"/>
      <c r="E7" s="8">
        <v>0.15</v>
      </c>
      <c r="F7" s="9">
        <f>ROUND(C4*E7, 0)</f>
        <v>8190</v>
      </c>
      <c r="G7" s="30"/>
      <c r="H7" s="9">
        <f>F7+G4</f>
        <v>9190</v>
      </c>
      <c r="I7" s="9">
        <f>ROUNDUP(((C4-F7) + ((C4-F7)*D4*12))/12, 0)</f>
        <v>4564</v>
      </c>
      <c r="J7" s="9">
        <f>ROUNDUP(((C4-F7) + ((C4-F7)*D4*18))/18, 0)</f>
        <v>3275</v>
      </c>
      <c r="K7" s="9">
        <f>ROUNDUP(((C4-F7) + ((C4-F7)*D4*24))/24, 0)</f>
        <v>2630</v>
      </c>
      <c r="L7" s="9">
        <f>ROUNDUP(((C4-F7) + ((C4-F7)*D4*30))/30, 0)</f>
        <v>2244</v>
      </c>
      <c r="M7" s="9">
        <f>ROUNDUP(((C4-F7) + ((C4-F7)*D4*36))/36, 0)</f>
        <v>1986</v>
      </c>
      <c r="N7" s="9">
        <f>ROUNDUP(((C4-F7) + ((C4-F7)*D4*48))/48, 0)</f>
        <v>1664</v>
      </c>
    </row>
    <row r="8" spans="1:14" x14ac:dyDescent="0.2">
      <c r="A8" s="36" t="s">
        <v>17</v>
      </c>
      <c r="B8" s="36" t="s">
        <v>18</v>
      </c>
      <c r="C8" s="31">
        <v>53200</v>
      </c>
      <c r="D8" s="32">
        <v>1.4999999999999999E-2</v>
      </c>
      <c r="E8" s="3">
        <v>0</v>
      </c>
      <c r="F8" s="4">
        <v>0</v>
      </c>
      <c r="G8" s="31">
        <v>1000</v>
      </c>
      <c r="H8" s="5">
        <f>F8+G8</f>
        <v>1000</v>
      </c>
      <c r="I8" s="5">
        <f>ROUNDUP(((C8-F8) + ((C8-F8)*D8*12))/12, 0)</f>
        <v>5232</v>
      </c>
      <c r="J8" s="5">
        <f>ROUNDUP(((C8-F8) + ((C8-F8)*D8*18))/18, 0)</f>
        <v>3754</v>
      </c>
      <c r="K8" s="5">
        <f>ROUNDUP(((C8-F8) + ((C8-F8)*D8*24))/24, 0)</f>
        <v>3015</v>
      </c>
      <c r="L8" s="5">
        <f>ROUNDUP(((C8-F8) + ((C8-F8)*D8*30))/30, 0)</f>
        <v>2572</v>
      </c>
      <c r="M8" s="5">
        <f>ROUNDUP(((C8-F8) + ((C8-F8)*D8*36))/36, 0)</f>
        <v>2276</v>
      </c>
      <c r="N8" s="6">
        <f>ROUNDUP(((C8-F8) + ((C8-F8)*D8*48))/48, 0)</f>
        <v>1907</v>
      </c>
    </row>
    <row r="9" spans="1:14" x14ac:dyDescent="0.2">
      <c r="A9" s="29"/>
      <c r="B9" s="29"/>
      <c r="C9" s="29"/>
      <c r="D9" s="29"/>
      <c r="E9" s="8">
        <v>0.05</v>
      </c>
      <c r="F9" s="9">
        <f>ROUND(C8*E9, 0)</f>
        <v>2660</v>
      </c>
      <c r="G9" s="29"/>
      <c r="H9" s="9">
        <f>F9+G8</f>
        <v>3660</v>
      </c>
      <c r="I9" s="9">
        <f>ROUNDUP(((C8-F9) + ((C8-F9)*D8*12))/12, 0)</f>
        <v>4970</v>
      </c>
      <c r="J9" s="9">
        <f>ROUNDUP(((C8-F9) + ((C8-F9)*D8*18))/18, 0)</f>
        <v>3566</v>
      </c>
      <c r="K9" s="9">
        <f>ROUNDUP(((C8-F9) + ((C8-F9)*D8*24))/24, 0)</f>
        <v>2864</v>
      </c>
      <c r="L9" s="9">
        <f>ROUNDUP(((C8-F9) + ((C8-F9)*D8*30))/30, 0)</f>
        <v>2443</v>
      </c>
      <c r="M9" s="9">
        <f>ROUNDUP(((C8-F9) + ((C8-F9)*D8*36))/36, 0)</f>
        <v>2162</v>
      </c>
      <c r="N9" s="9">
        <f>ROUNDUP(((C8-F9) + ((C8-F9)*D8*48))/48, 0)</f>
        <v>1812</v>
      </c>
    </row>
    <row r="10" spans="1:14" x14ac:dyDescent="0.2">
      <c r="A10" s="29"/>
      <c r="B10" s="29"/>
      <c r="C10" s="29"/>
      <c r="D10" s="29"/>
      <c r="E10" s="8">
        <v>0.1</v>
      </c>
      <c r="F10" s="9">
        <f>ROUND(C8*E10, 0)</f>
        <v>5320</v>
      </c>
      <c r="G10" s="29"/>
      <c r="H10" s="9">
        <f>F10+G8</f>
        <v>6320</v>
      </c>
      <c r="I10" s="9">
        <f>ROUNDUP(((C8-F10) + ((C8-F10)*D8*12))/12, 0)</f>
        <v>4709</v>
      </c>
      <c r="J10" s="9">
        <f>ROUNDUP(((C8-F10) + ((C8-F10)*D8*18))/18, 0)</f>
        <v>3379</v>
      </c>
      <c r="K10" s="9">
        <f>ROUNDUP(((C8-F10) + ((C8-F10)*D8*24))/24, 0)</f>
        <v>2714</v>
      </c>
      <c r="L10" s="9">
        <f>ROUNDUP(((C8-F10) + ((C8-F10)*D8*30))/30, 0)</f>
        <v>2315</v>
      </c>
      <c r="M10" s="9">
        <f>ROUNDUP(((C8-F10) + ((C8-F10)*D8*36))/36, 0)</f>
        <v>2049</v>
      </c>
      <c r="N10" s="9">
        <f>ROUNDUP(((C8-F10) + ((C8-F10)*D8*48))/48, 0)</f>
        <v>1716</v>
      </c>
    </row>
    <row r="11" spans="1:14" x14ac:dyDescent="0.2">
      <c r="A11" s="30"/>
      <c r="B11" s="30"/>
      <c r="C11" s="30"/>
      <c r="D11" s="30"/>
      <c r="E11" s="8">
        <v>0.15</v>
      </c>
      <c r="F11" s="9">
        <f>ROUND(C8*E11, 0)</f>
        <v>7980</v>
      </c>
      <c r="G11" s="30"/>
      <c r="H11" s="9">
        <f>F11+G8</f>
        <v>8980</v>
      </c>
      <c r="I11" s="9">
        <f>ROUNDUP(((C8-F11) + ((C8-F11)*D8*12))/12, 0)</f>
        <v>4447</v>
      </c>
      <c r="J11" s="9">
        <f>ROUNDUP(((C8-F11) + ((C8-F11)*D8*18))/18, 0)</f>
        <v>3191</v>
      </c>
      <c r="K11" s="9">
        <f>ROUNDUP(((C8-F11) + ((C8-F11)*D8*24))/24, 0)</f>
        <v>2563</v>
      </c>
      <c r="L11" s="9">
        <f>ROUNDUP(((C8-F11) + ((C8-F11)*D8*30))/30, 0)</f>
        <v>2186</v>
      </c>
      <c r="M11" s="9">
        <f>ROUNDUP(((C8-F11) + ((C8-F11)*D8*36))/36, 0)</f>
        <v>1935</v>
      </c>
      <c r="N11" s="9">
        <f>ROUNDUP(((C8-F11) + ((C8-F11)*D8*48))/48, 0)</f>
        <v>1621</v>
      </c>
    </row>
    <row r="12" spans="1:14" x14ac:dyDescent="0.2">
      <c r="A12" s="36" t="s">
        <v>15</v>
      </c>
      <c r="B12" s="36" t="s">
        <v>19</v>
      </c>
      <c r="C12" s="31">
        <v>55200</v>
      </c>
      <c r="D12" s="32">
        <v>1.4999999999999999E-2</v>
      </c>
      <c r="E12" s="3">
        <v>0</v>
      </c>
      <c r="F12" s="4">
        <v>2900</v>
      </c>
      <c r="G12" s="31">
        <v>1000</v>
      </c>
      <c r="H12" s="5">
        <f>F12+G12</f>
        <v>3900</v>
      </c>
      <c r="I12" s="5">
        <f>ROUNDUP(((C12-F12) + ((C12-F12)*D12*12))/12, 0)</f>
        <v>5143</v>
      </c>
      <c r="J12" s="5">
        <f>ROUNDUP(((C12-F12) + ((C12-F12)*D12*18))/18, 0)</f>
        <v>3691</v>
      </c>
      <c r="K12" s="5">
        <f>ROUNDUP(((C12-F12) + ((C12-F12)*D12*24))/24, 0)</f>
        <v>2964</v>
      </c>
      <c r="L12" s="5">
        <f>ROUNDUP(((C12-F12) + ((C12-F12)*D12*30))/30, 0)</f>
        <v>2528</v>
      </c>
      <c r="M12" s="5">
        <f>ROUNDUP(((C12-F12) + ((C12-F12)*D12*36))/36, 0)</f>
        <v>2238</v>
      </c>
      <c r="N12" s="6">
        <f>ROUNDUP(((C12-F12) + ((C12-F12)*D12*48))/48, 0)</f>
        <v>1875</v>
      </c>
    </row>
    <row r="13" spans="1:14" x14ac:dyDescent="0.2">
      <c r="A13" s="29"/>
      <c r="B13" s="29"/>
      <c r="C13" s="29"/>
      <c r="D13" s="29"/>
      <c r="E13" s="8">
        <v>0.05</v>
      </c>
      <c r="F13" s="9">
        <f>ROUND(C12*E13, 0)</f>
        <v>2760</v>
      </c>
      <c r="G13" s="29"/>
      <c r="H13" s="9">
        <f>F13+G12</f>
        <v>3760</v>
      </c>
      <c r="I13" s="9">
        <f>ROUNDUP(((C12-F13) + ((C12-F13)*D12*12))/12, 0)</f>
        <v>5157</v>
      </c>
      <c r="J13" s="9">
        <f>ROUNDUP(((C12-F13) + ((C12-F13)*D12*18))/18, 0)</f>
        <v>3700</v>
      </c>
      <c r="K13" s="9">
        <f>ROUNDUP(((C12-F13) + ((C12-F13)*D12*24))/24, 0)</f>
        <v>2972</v>
      </c>
      <c r="L13" s="9">
        <f>ROUNDUP(((C12-F13) + ((C12-F13)*D12*30))/30, 0)</f>
        <v>2535</v>
      </c>
      <c r="M13" s="9">
        <f>ROUNDUP(((C12-F13) + ((C12-F13)*D12*36))/36, 0)</f>
        <v>2244</v>
      </c>
      <c r="N13" s="9">
        <f>ROUNDUP(((C12-F13) + ((C12-F13)*D12*48))/48, 0)</f>
        <v>1880</v>
      </c>
    </row>
    <row r="14" spans="1:14" x14ac:dyDescent="0.2">
      <c r="A14" s="29"/>
      <c r="B14" s="29"/>
      <c r="C14" s="29"/>
      <c r="D14" s="29"/>
      <c r="E14" s="8">
        <v>0.1</v>
      </c>
      <c r="F14" s="9">
        <f>ROUND(C12*E14, 0)</f>
        <v>5520</v>
      </c>
      <c r="G14" s="29"/>
      <c r="H14" s="9">
        <f>F14+G12</f>
        <v>6520</v>
      </c>
      <c r="I14" s="9">
        <f>ROUNDUP(((C12-F14) + ((C12-F14)*D12*12))/12, 0)</f>
        <v>4886</v>
      </c>
      <c r="J14" s="9">
        <f>ROUNDUP(((C12-F14) + ((C12-F14)*D12*18))/18, 0)</f>
        <v>3506</v>
      </c>
      <c r="K14" s="9">
        <f>ROUNDUP(((C12-F14) + ((C12-F14)*D12*24))/24, 0)</f>
        <v>2816</v>
      </c>
      <c r="L14" s="9">
        <f>ROUNDUP(((C12-F14) + ((C12-F14)*D12*30))/30, 0)</f>
        <v>2402</v>
      </c>
      <c r="M14" s="9">
        <f>ROUNDUP(((C12-F14) + ((C12-F14)*D12*36))/36, 0)</f>
        <v>2126</v>
      </c>
      <c r="N14" s="9">
        <f>ROUNDUP(((C12-F14) + ((C12-F14)*D12*48))/48, 0)</f>
        <v>1781</v>
      </c>
    </row>
    <row r="15" spans="1:14" x14ac:dyDescent="0.2">
      <c r="A15" s="30"/>
      <c r="B15" s="30"/>
      <c r="C15" s="30"/>
      <c r="D15" s="30"/>
      <c r="E15" s="8">
        <v>0.15</v>
      </c>
      <c r="F15" s="9">
        <f>ROUND(C12*E15, 0)</f>
        <v>8280</v>
      </c>
      <c r="G15" s="30"/>
      <c r="H15" s="9">
        <f>F15+G12</f>
        <v>9280</v>
      </c>
      <c r="I15" s="9">
        <f>ROUNDUP(((C12-F15) + ((C12-F15)*D12*12))/12, 0)</f>
        <v>4614</v>
      </c>
      <c r="J15" s="9">
        <f>ROUNDUP(((C12-F15) + ((C12-F15)*D12*18))/18, 0)</f>
        <v>3311</v>
      </c>
      <c r="K15" s="9">
        <f>ROUNDUP(((C12-F15) + ((C12-F15)*D12*24))/24, 0)</f>
        <v>2659</v>
      </c>
      <c r="L15" s="9">
        <f>ROUNDUP(((C12-F15) + ((C12-F15)*D12*30))/30, 0)</f>
        <v>2268</v>
      </c>
      <c r="M15" s="9">
        <f>ROUNDUP(((C12-F15) + ((C12-F15)*D12*36))/36, 0)</f>
        <v>2008</v>
      </c>
      <c r="N15" s="9">
        <f>ROUNDUP(((C12-F15) + ((C12-F15)*D12*48))/48, 0)</f>
        <v>1682</v>
      </c>
    </row>
    <row r="16" spans="1:14" x14ac:dyDescent="0.2">
      <c r="A16" s="36" t="s">
        <v>20</v>
      </c>
      <c r="B16" s="36" t="s">
        <v>21</v>
      </c>
      <c r="C16" s="31">
        <v>62200</v>
      </c>
      <c r="D16" s="32">
        <v>1.4999999999999999E-2</v>
      </c>
      <c r="E16" s="3">
        <v>0</v>
      </c>
      <c r="F16" s="4">
        <v>3900</v>
      </c>
      <c r="G16" s="31">
        <v>1000</v>
      </c>
      <c r="H16" s="5">
        <f>F16+G16</f>
        <v>4900</v>
      </c>
      <c r="I16" s="5">
        <f>ROUNDUP(((C16-F16) + ((C16-F16)*D16*12))/12, 0)</f>
        <v>5733</v>
      </c>
      <c r="J16" s="5">
        <f>ROUNDUP(((C16-F16) + ((C16-F16)*D16*18))/18, 0)</f>
        <v>4114</v>
      </c>
      <c r="K16" s="5">
        <f>ROUNDUP(((C16-F16) + ((C16-F16)*D16*24))/24, 0)</f>
        <v>3304</v>
      </c>
      <c r="L16" s="5">
        <f>ROUNDUP(((C16-F16) + ((C16-F16)*D16*30))/30, 0)</f>
        <v>2818</v>
      </c>
      <c r="M16" s="5">
        <f>ROUNDUP(((C16-F16) + ((C16-F16)*D16*36))/36, 0)</f>
        <v>2494</v>
      </c>
      <c r="N16" s="6">
        <f>ROUNDUP(((C16-F16) + ((C16-F16)*D16*48))/48, 0)</f>
        <v>2090</v>
      </c>
    </row>
    <row r="17" spans="1:14" x14ac:dyDescent="0.2">
      <c r="A17" s="29"/>
      <c r="B17" s="29"/>
      <c r="C17" s="29"/>
      <c r="D17" s="29"/>
      <c r="E17" s="8">
        <v>0.05</v>
      </c>
      <c r="F17" s="9">
        <f>ROUND(C16*E17, 0)</f>
        <v>3110</v>
      </c>
      <c r="G17" s="29"/>
      <c r="H17" s="9">
        <f>F17+G16</f>
        <v>4110</v>
      </c>
      <c r="I17" s="9">
        <f>ROUNDUP(((C16-F17) + ((C16-F17)*D16*12))/12, 0)</f>
        <v>5811</v>
      </c>
      <c r="J17" s="9">
        <f>ROUNDUP(((C16-F17) + ((C16-F17)*D16*18))/18, 0)</f>
        <v>4170</v>
      </c>
      <c r="K17" s="9">
        <f>ROUNDUP(((C16-F17) + ((C16-F17)*D16*24))/24, 0)</f>
        <v>3349</v>
      </c>
      <c r="L17" s="9">
        <f>ROUNDUP(((C16-F17) + ((C16-F17)*D16*30))/30, 0)</f>
        <v>2857</v>
      </c>
      <c r="M17" s="9">
        <f>ROUNDUP(((C16-F17) + ((C16-F17)*D16*36))/36, 0)</f>
        <v>2528</v>
      </c>
      <c r="N17" s="9">
        <f>ROUNDUP(((C16-F17) + ((C16-F17)*D16*48))/48, 0)</f>
        <v>2118</v>
      </c>
    </row>
    <row r="18" spans="1:14" x14ac:dyDescent="0.2">
      <c r="A18" s="29"/>
      <c r="B18" s="29"/>
      <c r="C18" s="29"/>
      <c r="D18" s="29"/>
      <c r="E18" s="8">
        <v>0.1</v>
      </c>
      <c r="F18" s="9">
        <f>ROUND(C16*E18, 0)</f>
        <v>6220</v>
      </c>
      <c r="G18" s="29"/>
      <c r="H18" s="9">
        <f>F18+G16</f>
        <v>7220</v>
      </c>
      <c r="I18" s="9">
        <f>ROUNDUP(((C16-F18) + ((C16-F18)*D16*12))/12, 0)</f>
        <v>5505</v>
      </c>
      <c r="J18" s="9">
        <f>ROUNDUP(((C16-F18) + ((C16-F18)*D16*18))/18, 0)</f>
        <v>3950</v>
      </c>
      <c r="K18" s="9">
        <f>ROUNDUP(((C16-F18) + ((C16-F18)*D16*24))/24, 0)</f>
        <v>3173</v>
      </c>
      <c r="L18" s="9">
        <f>ROUNDUP(((C16-F18) + ((C16-F18)*D16*30))/30, 0)</f>
        <v>2706</v>
      </c>
      <c r="M18" s="9">
        <f>ROUNDUP(((C16-F18) + ((C16-F18)*D16*36))/36, 0)</f>
        <v>2395</v>
      </c>
      <c r="N18" s="9">
        <f>ROUNDUP(((C16-F18) + ((C16-F18)*D16*48))/48, 0)</f>
        <v>2006</v>
      </c>
    </row>
    <row r="19" spans="1:14" x14ac:dyDescent="0.2">
      <c r="A19" s="30"/>
      <c r="B19" s="30"/>
      <c r="C19" s="30"/>
      <c r="D19" s="30"/>
      <c r="E19" s="8">
        <v>0.15</v>
      </c>
      <c r="F19" s="9">
        <f>ROUND(C16*E19, 0)</f>
        <v>9330</v>
      </c>
      <c r="G19" s="30"/>
      <c r="H19" s="9">
        <f>F19+G16</f>
        <v>10330</v>
      </c>
      <c r="I19" s="9">
        <f>ROUNDUP(((C16-F19) + ((C16-F19)*D16*12))/12, 0)</f>
        <v>5199</v>
      </c>
      <c r="J19" s="9">
        <f>ROUNDUP(((C16-F19) + ((C16-F19)*D16*18))/18, 0)</f>
        <v>3731</v>
      </c>
      <c r="K19" s="9">
        <f>ROUNDUP(((C16-F19) + ((C16-F19)*D16*24))/24, 0)</f>
        <v>2996</v>
      </c>
      <c r="L19" s="9">
        <f>ROUNDUP(((C16-F19) + ((C16-F19)*D16*30))/30, 0)</f>
        <v>2556</v>
      </c>
      <c r="M19" s="9">
        <f>ROUNDUP(((C16-F19) + ((C16-F19)*D16*36))/36, 0)</f>
        <v>2262</v>
      </c>
      <c r="N19" s="9">
        <f>ROUNDUP(((C16-F19) + ((C16-F19)*D16*48))/48, 0)</f>
        <v>1895</v>
      </c>
    </row>
    <row r="20" spans="1:14" x14ac:dyDescent="0.2">
      <c r="A20" s="36" t="s">
        <v>22</v>
      </c>
      <c r="B20" s="36" t="s">
        <v>23</v>
      </c>
      <c r="C20" s="31">
        <v>53200</v>
      </c>
      <c r="D20" s="32">
        <v>1.4999999999999999E-2</v>
      </c>
      <c r="E20" s="3">
        <v>0</v>
      </c>
      <c r="F20" s="4">
        <v>2000</v>
      </c>
      <c r="G20" s="31">
        <v>1000</v>
      </c>
      <c r="H20" s="5">
        <f>F20+G20</f>
        <v>3000</v>
      </c>
      <c r="I20" s="5">
        <f>ROUNDUP(((C20-F20) + ((C20-F20)*D20*12))/12, 0)</f>
        <v>5035</v>
      </c>
      <c r="J20" s="5">
        <f>ROUNDUP(((C20-F20) + ((C20-F20)*D20*18))/18, 0)</f>
        <v>3613</v>
      </c>
      <c r="K20" s="5">
        <f>ROUNDUP(((C20-F20) + ((C20-F20)*D20*24))/24, 0)</f>
        <v>2902</v>
      </c>
      <c r="L20" s="5">
        <f>ROUNDUP(((C20-F20) + ((C20-F20)*D20*30))/30, 0)</f>
        <v>2475</v>
      </c>
      <c r="M20" s="5">
        <f>ROUNDUP(((C20-F20) + ((C20-F20)*D20*36))/36, 0)</f>
        <v>2191</v>
      </c>
      <c r="N20" s="6">
        <f>ROUNDUP(((C20-F20) + ((C20-F20)*D20*48))/48, 0)</f>
        <v>1835</v>
      </c>
    </row>
    <row r="21" spans="1:14" x14ac:dyDescent="0.2">
      <c r="A21" s="29"/>
      <c r="B21" s="29"/>
      <c r="C21" s="29"/>
      <c r="D21" s="29"/>
      <c r="E21" s="8">
        <v>0.05</v>
      </c>
      <c r="F21" s="9">
        <f>ROUND(C20*E21, 0)</f>
        <v>2660</v>
      </c>
      <c r="G21" s="29"/>
      <c r="H21" s="9">
        <f>F21+G20</f>
        <v>3660</v>
      </c>
      <c r="I21" s="9">
        <f>ROUNDUP(((C20-F21) + ((C20-F21)*D20*12))/12, 0)</f>
        <v>4970</v>
      </c>
      <c r="J21" s="9">
        <f>ROUNDUP(((C20-F21) + ((C20-F21)*D20*18))/18, 0)</f>
        <v>3566</v>
      </c>
      <c r="K21" s="9">
        <f>ROUNDUP(((C20-F21) + ((C20-F21)*D20*24))/24, 0)</f>
        <v>2864</v>
      </c>
      <c r="L21" s="9">
        <f>ROUNDUP(((C20-F21) + ((C20-F21)*D20*30))/30, 0)</f>
        <v>2443</v>
      </c>
      <c r="M21" s="9">
        <f>ROUNDUP(((C20-F21) + ((C20-F21)*D20*36))/36, 0)</f>
        <v>2162</v>
      </c>
      <c r="N21" s="9">
        <f>ROUNDUP(((C20-F21) + ((C20-F21)*D20*48))/48, 0)</f>
        <v>1812</v>
      </c>
    </row>
    <row r="22" spans="1:14" x14ac:dyDescent="0.2">
      <c r="A22" s="29"/>
      <c r="B22" s="29"/>
      <c r="C22" s="29"/>
      <c r="D22" s="29"/>
      <c r="E22" s="8">
        <v>0.1</v>
      </c>
      <c r="F22" s="9">
        <f>ROUND(C20*E22, 0)</f>
        <v>5320</v>
      </c>
      <c r="G22" s="29"/>
      <c r="H22" s="9">
        <f>F22+G20</f>
        <v>6320</v>
      </c>
      <c r="I22" s="9">
        <f>ROUNDUP(((C20-F22) + ((C20-F22)*D20*12))/12, 0)</f>
        <v>4709</v>
      </c>
      <c r="J22" s="9">
        <f>ROUNDUP(((C20-F22) + ((C20-F22)*D20*18))/18, 0)</f>
        <v>3379</v>
      </c>
      <c r="K22" s="9">
        <f>ROUNDUP(((C20-F22) + ((C20-F22)*D20*24))/24, 0)</f>
        <v>2714</v>
      </c>
      <c r="L22" s="9">
        <f>ROUNDUP(((C20-F22) + ((C20-F22)*D20*30))/30, 0)</f>
        <v>2315</v>
      </c>
      <c r="M22" s="9">
        <f>ROUNDUP(((C20-F22) + ((C20-F22)*D20*36))/36, 0)</f>
        <v>2049</v>
      </c>
      <c r="N22" s="9">
        <f>ROUNDUP(((C20-F22) + ((C20-F22)*D20*48))/48, 0)</f>
        <v>1716</v>
      </c>
    </row>
    <row r="23" spans="1:14" x14ac:dyDescent="0.2">
      <c r="A23" s="30"/>
      <c r="B23" s="30"/>
      <c r="C23" s="30"/>
      <c r="D23" s="30"/>
      <c r="E23" s="8">
        <v>0.15</v>
      </c>
      <c r="F23" s="9">
        <f>ROUND(C20*E23, 0)</f>
        <v>7980</v>
      </c>
      <c r="G23" s="30"/>
      <c r="H23" s="9">
        <f>F23+G20</f>
        <v>8980</v>
      </c>
      <c r="I23" s="9">
        <f>ROUNDUP(((C20-F23) + ((C20-F23)*D20*12))/12, 0)</f>
        <v>4447</v>
      </c>
      <c r="J23" s="9">
        <f>ROUNDUP(((C20-F23) + ((C20-F23)*D20*18))/18, 0)</f>
        <v>3191</v>
      </c>
      <c r="K23" s="9">
        <f>ROUNDUP(((C20-F23) + ((C20-F23)*D20*24))/24, 0)</f>
        <v>2563</v>
      </c>
      <c r="L23" s="9">
        <f>ROUNDUP(((C20-F23) + ((C20-F23)*D20*30))/30, 0)</f>
        <v>2186</v>
      </c>
      <c r="M23" s="9">
        <f>ROUNDUP(((C20-F23) + ((C20-F23)*D20*36))/36, 0)</f>
        <v>1935</v>
      </c>
      <c r="N23" s="9">
        <f>ROUNDUP(((C20-F23) + ((C20-F23)*D20*48))/48, 0)</f>
        <v>1621</v>
      </c>
    </row>
    <row r="24" spans="1:14" x14ac:dyDescent="0.2">
      <c r="A24" s="36" t="s">
        <v>24</v>
      </c>
      <c r="B24" s="36" t="s">
        <v>25</v>
      </c>
      <c r="C24" s="31">
        <v>71200</v>
      </c>
      <c r="D24" s="32">
        <v>1.4E-2</v>
      </c>
      <c r="E24" s="3">
        <v>0</v>
      </c>
      <c r="F24" s="4">
        <v>3900</v>
      </c>
      <c r="G24" s="31">
        <v>1000</v>
      </c>
      <c r="H24" s="5">
        <f>F24+G24</f>
        <v>4900</v>
      </c>
      <c r="I24" s="5">
        <f>ROUNDUP(((C24-F24) + ((C24-F24)*D24*12))/12, 0)</f>
        <v>6551</v>
      </c>
      <c r="J24" s="5">
        <f>ROUNDUP(((C24-F24) + ((C24-F24)*D24*18))/18, 0)</f>
        <v>4682</v>
      </c>
      <c r="K24" s="5">
        <f>ROUNDUP(((C24-F24) + ((C24-F24)*D24*24))/24, 0)</f>
        <v>3747</v>
      </c>
      <c r="L24" s="5">
        <f>ROUNDUP(((C24-F24) + ((C24-F24)*D24*30))/30, 0)</f>
        <v>3186</v>
      </c>
      <c r="M24" s="5">
        <f>ROUNDUP(((C24-F24) + ((C24-F24)*D24*36))/36, 0)</f>
        <v>2812</v>
      </c>
      <c r="N24" s="6">
        <f>ROUNDUP(((C24-F24) + ((C24-F24)*D24*48))/48, 0)</f>
        <v>2345</v>
      </c>
    </row>
    <row r="25" spans="1:14" x14ac:dyDescent="0.2">
      <c r="A25" s="29"/>
      <c r="B25" s="29"/>
      <c r="C25" s="29"/>
      <c r="D25" s="29"/>
      <c r="E25" s="8">
        <v>0.05</v>
      </c>
      <c r="F25" s="9">
        <f>ROUND(C24*E25, 0)</f>
        <v>3560</v>
      </c>
      <c r="G25" s="29"/>
      <c r="H25" s="9">
        <f>F25+G24</f>
        <v>4560</v>
      </c>
      <c r="I25" s="9">
        <f>ROUNDUP(((C24-F25) + ((C24-F25)*D24*12))/12, 0)</f>
        <v>6584</v>
      </c>
      <c r="J25" s="9">
        <f>ROUNDUP(((C24-F25) + ((C24-F25)*D24*18))/18, 0)</f>
        <v>4705</v>
      </c>
      <c r="K25" s="9">
        <f>ROUNDUP(((C24-F25) + ((C24-F25)*D24*24))/24, 0)</f>
        <v>3766</v>
      </c>
      <c r="L25" s="9">
        <f>ROUNDUP(((C24-F25) + ((C24-F25)*D24*30))/30, 0)</f>
        <v>3202</v>
      </c>
      <c r="M25" s="9">
        <f>ROUNDUP(((C24-F25) + ((C24-F25)*D24*36))/36, 0)</f>
        <v>2826</v>
      </c>
      <c r="N25" s="9">
        <f>ROUNDUP(((C24-F25) + ((C24-F25)*D24*48))/48, 0)</f>
        <v>2357</v>
      </c>
    </row>
    <row r="26" spans="1:14" x14ac:dyDescent="0.2">
      <c r="A26" s="29"/>
      <c r="B26" s="29"/>
      <c r="C26" s="29"/>
      <c r="D26" s="29"/>
      <c r="E26" s="8">
        <v>0.1</v>
      </c>
      <c r="F26" s="9">
        <f>ROUND(C24*E26, 0)</f>
        <v>7120</v>
      </c>
      <c r="G26" s="29"/>
      <c r="H26" s="9">
        <f>F26+G24</f>
        <v>8120</v>
      </c>
      <c r="I26" s="9">
        <f>ROUNDUP(((C24-F26) + ((C24-F26)*D24*12))/12, 0)</f>
        <v>6238</v>
      </c>
      <c r="J26" s="9">
        <f>ROUNDUP(((C24-F26) + ((C24-F26)*D24*18))/18, 0)</f>
        <v>4458</v>
      </c>
      <c r="K26" s="9">
        <f>ROUNDUP(((C24-F26) + ((C24-F26)*D24*24))/24, 0)</f>
        <v>3568</v>
      </c>
      <c r="L26" s="9">
        <f>ROUNDUP(((C24-F26) + ((C24-F26)*D24*30))/30, 0)</f>
        <v>3034</v>
      </c>
      <c r="M26" s="9">
        <f>ROUNDUP(((C24-F26) + ((C24-F26)*D24*36))/36, 0)</f>
        <v>2678</v>
      </c>
      <c r="N26" s="9">
        <f>ROUNDUP(((C24-F26) + ((C24-F26)*D24*48))/48, 0)</f>
        <v>2233</v>
      </c>
    </row>
    <row r="27" spans="1:14" x14ac:dyDescent="0.2">
      <c r="A27" s="30"/>
      <c r="B27" s="30"/>
      <c r="C27" s="30"/>
      <c r="D27" s="30"/>
      <c r="E27" s="8">
        <v>0.15</v>
      </c>
      <c r="F27" s="9">
        <f>ROUND(C24*E27, 0)</f>
        <v>10680</v>
      </c>
      <c r="G27" s="30"/>
      <c r="H27" s="9">
        <f>F27+G24</f>
        <v>11680</v>
      </c>
      <c r="I27" s="9">
        <f>ROUNDUP(((C24-F27) + ((C24-F27)*D24*12))/12, 0)</f>
        <v>5891</v>
      </c>
      <c r="J27" s="9">
        <f>ROUNDUP(((C24-F27) + ((C24-F27)*D24*18))/18, 0)</f>
        <v>4210</v>
      </c>
      <c r="K27" s="9">
        <f>ROUNDUP(((C24-F27) + ((C24-F27)*D24*24))/24, 0)</f>
        <v>3369</v>
      </c>
      <c r="L27" s="9">
        <f>ROUNDUP(((C24-F27) + ((C24-F27)*D24*30))/30, 0)</f>
        <v>2865</v>
      </c>
      <c r="M27" s="9">
        <f>ROUNDUP(((C24-F27) + ((C24-F27)*D24*36))/36, 0)</f>
        <v>2529</v>
      </c>
      <c r="N27" s="9">
        <f>ROUNDUP(((C24-F27) + ((C24-F27)*D24*48))/48, 0)</f>
        <v>2109</v>
      </c>
    </row>
    <row r="28" spans="1:14" x14ac:dyDescent="0.2">
      <c r="A28" s="36" t="s">
        <v>24</v>
      </c>
      <c r="B28" s="36" t="s">
        <v>26</v>
      </c>
      <c r="C28" s="31">
        <v>66600</v>
      </c>
      <c r="D28" s="32">
        <v>1.4E-2</v>
      </c>
      <c r="E28" s="3">
        <v>0</v>
      </c>
      <c r="F28" s="4">
        <v>2900</v>
      </c>
      <c r="G28" s="31">
        <v>1000</v>
      </c>
      <c r="H28" s="5">
        <f>F28+G28</f>
        <v>3900</v>
      </c>
      <c r="I28" s="5">
        <f>ROUNDUP(((C28-F28) + ((C28-F28)*D28*12))/12, 0)</f>
        <v>6201</v>
      </c>
      <c r="J28" s="5">
        <f>ROUNDUP(((C28-F28) + ((C28-F28)*D28*18))/18, 0)</f>
        <v>4431</v>
      </c>
      <c r="K28" s="5">
        <f>ROUNDUP(((C28-F28) + ((C28-F28)*D28*24))/24, 0)</f>
        <v>3546</v>
      </c>
      <c r="L28" s="5">
        <f>ROUNDUP(((C28-F28) + ((C28-F28)*D28*30))/30, 0)</f>
        <v>3016</v>
      </c>
      <c r="M28" s="5">
        <f>ROUNDUP(((C28-F28) + ((C28-F28)*D28*36))/36, 0)</f>
        <v>2662</v>
      </c>
      <c r="N28" s="6">
        <f>ROUNDUP(((C28-F28) + ((C28-F28)*D28*48))/48, 0)</f>
        <v>2219</v>
      </c>
    </row>
    <row r="29" spans="1:14" x14ac:dyDescent="0.2">
      <c r="A29" s="29"/>
      <c r="B29" s="29"/>
      <c r="C29" s="29"/>
      <c r="D29" s="29"/>
      <c r="E29" s="8">
        <v>0.05</v>
      </c>
      <c r="F29" s="9">
        <f>ROUND(C28*E29, 0)</f>
        <v>3330</v>
      </c>
      <c r="G29" s="29"/>
      <c r="H29" s="9">
        <f>F29+G28</f>
        <v>4330</v>
      </c>
      <c r="I29" s="9">
        <f>ROUNDUP(((C28-F29) + ((C28-F29)*D28*12))/12, 0)</f>
        <v>6159</v>
      </c>
      <c r="J29" s="9">
        <f>ROUNDUP(((C28-F29) + ((C28-F29)*D28*18))/18, 0)</f>
        <v>4401</v>
      </c>
      <c r="K29" s="9">
        <f>ROUNDUP(((C28-F29) + ((C28-F29)*D28*24))/24, 0)</f>
        <v>3523</v>
      </c>
      <c r="L29" s="9">
        <f>ROUNDUP(((C28-F29) + ((C28-F29)*D28*30))/30, 0)</f>
        <v>2995</v>
      </c>
      <c r="M29" s="9">
        <f>ROUNDUP(((C28-F29) + ((C28-F29)*D28*36))/36, 0)</f>
        <v>2644</v>
      </c>
      <c r="N29" s="9">
        <f>ROUNDUP(((C28-F29) + ((C28-F29)*D28*48))/48, 0)</f>
        <v>2204</v>
      </c>
    </row>
    <row r="30" spans="1:14" x14ac:dyDescent="0.2">
      <c r="A30" s="29"/>
      <c r="B30" s="29"/>
      <c r="C30" s="29"/>
      <c r="D30" s="29"/>
      <c r="E30" s="8">
        <v>0.1</v>
      </c>
      <c r="F30" s="9">
        <f>ROUND(C28*E30, 0)</f>
        <v>6660</v>
      </c>
      <c r="G30" s="29"/>
      <c r="H30" s="9">
        <f>F30+G28</f>
        <v>7660</v>
      </c>
      <c r="I30" s="9">
        <f>ROUNDUP(((C28-F30) + ((C28-F30)*D28*12))/12, 0)</f>
        <v>5835</v>
      </c>
      <c r="J30" s="9">
        <f>ROUNDUP(((C28-F30) + ((C28-F30)*D28*18))/18, 0)</f>
        <v>4170</v>
      </c>
      <c r="K30" s="9">
        <f>ROUNDUP(((C28-F30) + ((C28-F30)*D28*24))/24, 0)</f>
        <v>3337</v>
      </c>
      <c r="L30" s="9">
        <f>ROUNDUP(((C28-F30) + ((C28-F30)*D28*30))/30, 0)</f>
        <v>2838</v>
      </c>
      <c r="M30" s="9">
        <f>ROUNDUP(((C28-F30) + ((C28-F30)*D28*36))/36, 0)</f>
        <v>2505</v>
      </c>
      <c r="N30" s="9">
        <f>ROUNDUP(((C28-F30) + ((C28-F30)*D28*48))/48, 0)</f>
        <v>2088</v>
      </c>
    </row>
    <row r="31" spans="1:14" x14ac:dyDescent="0.2">
      <c r="A31" s="30"/>
      <c r="B31" s="30"/>
      <c r="C31" s="30"/>
      <c r="D31" s="30"/>
      <c r="E31" s="8">
        <v>0.15</v>
      </c>
      <c r="F31" s="9">
        <f>ROUND(C28*E31, 0)</f>
        <v>9990</v>
      </c>
      <c r="G31" s="30"/>
      <c r="H31" s="9">
        <f>F31+G28</f>
        <v>10990</v>
      </c>
      <c r="I31" s="9">
        <f>ROUNDUP(((C28-F31) + ((C28-F31)*D28*12))/12, 0)</f>
        <v>5511</v>
      </c>
      <c r="J31" s="9">
        <f>ROUNDUP(((C28-F31) + ((C28-F31)*D28*18))/18, 0)</f>
        <v>3938</v>
      </c>
      <c r="K31" s="9">
        <f>ROUNDUP(((C28-F31) + ((C28-F31)*D28*24))/24, 0)</f>
        <v>3152</v>
      </c>
      <c r="L31" s="9">
        <f>ROUNDUP(((C28-F31) + ((C28-F31)*D28*30))/30, 0)</f>
        <v>2680</v>
      </c>
      <c r="M31" s="9">
        <f>ROUNDUP(((C28-F31) + ((C28-F31)*D28*36))/36, 0)</f>
        <v>2366</v>
      </c>
      <c r="N31" s="9">
        <f>ROUNDUP(((C28-F31) + ((C28-F31)*D28*48))/48, 0)</f>
        <v>1972</v>
      </c>
    </row>
    <row r="32" spans="1:14" x14ac:dyDescent="0.2">
      <c r="A32" s="36" t="s">
        <v>27</v>
      </c>
      <c r="B32" s="36" t="s">
        <v>28</v>
      </c>
      <c r="C32" s="31">
        <v>66600</v>
      </c>
      <c r="D32" s="32">
        <v>1.4999999999999999E-2</v>
      </c>
      <c r="E32" s="3">
        <v>0</v>
      </c>
      <c r="F32" s="4">
        <v>4900</v>
      </c>
      <c r="G32" s="31">
        <v>1000</v>
      </c>
      <c r="H32" s="5">
        <f>F32+G32</f>
        <v>5900</v>
      </c>
      <c r="I32" s="5">
        <f>ROUNDUP(((C32-F32) + ((C32-F32)*D32*12))/12, 0)</f>
        <v>6068</v>
      </c>
      <c r="J32" s="5">
        <f>ROUNDUP(((C32-F32) + ((C32-F32)*D32*18))/18, 0)</f>
        <v>4354</v>
      </c>
      <c r="K32" s="5">
        <f>ROUNDUP(((C32-F32) + ((C32-F32)*D32*24))/24, 0)</f>
        <v>3497</v>
      </c>
      <c r="L32" s="5">
        <f>ROUNDUP(((C32-F32) + ((C32-F32)*D32*30))/30, 0)</f>
        <v>2983</v>
      </c>
      <c r="M32" s="5">
        <f>ROUNDUP(((C32-F32) + ((C32-F32)*D32*36))/36, 0)</f>
        <v>2640</v>
      </c>
      <c r="N32" s="6">
        <f>ROUNDUP(((C32-F32) + ((C32-F32)*D32*48))/48, 0)</f>
        <v>2211</v>
      </c>
    </row>
    <row r="33" spans="1:14" x14ac:dyDescent="0.2">
      <c r="A33" s="29"/>
      <c r="B33" s="29"/>
      <c r="C33" s="29"/>
      <c r="D33" s="29"/>
      <c r="E33" s="8">
        <v>0.05</v>
      </c>
      <c r="F33" s="9">
        <f>ROUND(C32*E33, 0)</f>
        <v>3330</v>
      </c>
      <c r="G33" s="29"/>
      <c r="H33" s="9">
        <f>F33+G32</f>
        <v>4330</v>
      </c>
      <c r="I33" s="9">
        <f>ROUNDUP(((C32-F33) + ((C32-F33)*D32*12))/12, 0)</f>
        <v>6222</v>
      </c>
      <c r="J33" s="9">
        <f>ROUNDUP(((C32-F33) + ((C32-F33)*D32*18))/18, 0)</f>
        <v>4465</v>
      </c>
      <c r="K33" s="9">
        <f>ROUNDUP(((C32-F33) + ((C32-F33)*D32*24))/24, 0)</f>
        <v>3586</v>
      </c>
      <c r="L33" s="9">
        <f>ROUNDUP(((C32-F33) + ((C32-F33)*D32*30))/30, 0)</f>
        <v>3059</v>
      </c>
      <c r="M33" s="9">
        <f>ROUNDUP(((C32-F33) + ((C32-F33)*D32*36))/36, 0)</f>
        <v>2707</v>
      </c>
      <c r="N33" s="9">
        <f>ROUNDUP(((C32-F33) + ((C32-F33)*D32*48))/48, 0)</f>
        <v>2268</v>
      </c>
    </row>
    <row r="34" spans="1:14" x14ac:dyDescent="0.2">
      <c r="A34" s="29"/>
      <c r="B34" s="29"/>
      <c r="C34" s="29"/>
      <c r="D34" s="29"/>
      <c r="E34" s="8">
        <v>0.1</v>
      </c>
      <c r="F34" s="9">
        <f>ROUND(C32*E34, 0)</f>
        <v>6660</v>
      </c>
      <c r="G34" s="29"/>
      <c r="H34" s="9">
        <f>F34+G32</f>
        <v>7660</v>
      </c>
      <c r="I34" s="9">
        <f>ROUNDUP(((C32-F34) + ((C32-F34)*D32*12))/12, 0)</f>
        <v>5895</v>
      </c>
      <c r="J34" s="9">
        <f>ROUNDUP(((C32-F34) + ((C32-F34)*D32*18))/18, 0)</f>
        <v>4230</v>
      </c>
      <c r="K34" s="9">
        <f>ROUNDUP(((C32-F34) + ((C32-F34)*D32*24))/24, 0)</f>
        <v>3397</v>
      </c>
      <c r="L34" s="9">
        <f>ROUNDUP(((C32-F34) + ((C32-F34)*D32*30))/30, 0)</f>
        <v>2898</v>
      </c>
      <c r="M34" s="9">
        <f>ROUNDUP(((C32-F34) + ((C32-F34)*D32*36))/36, 0)</f>
        <v>2565</v>
      </c>
      <c r="N34" s="9">
        <f>ROUNDUP(((C32-F34) + ((C32-F34)*D32*48))/48, 0)</f>
        <v>2148</v>
      </c>
    </row>
    <row r="35" spans="1:14" x14ac:dyDescent="0.2">
      <c r="A35" s="30"/>
      <c r="B35" s="30"/>
      <c r="C35" s="30"/>
      <c r="D35" s="30"/>
      <c r="E35" s="8">
        <v>0.15</v>
      </c>
      <c r="F35" s="9">
        <f>ROUND(C32*E35, 0)</f>
        <v>9990</v>
      </c>
      <c r="G35" s="30"/>
      <c r="H35" s="9">
        <f>F35+G32</f>
        <v>10990</v>
      </c>
      <c r="I35" s="9">
        <f>ROUNDUP(((C32-F35) + ((C32-F35)*D32*12))/12, 0)</f>
        <v>5567</v>
      </c>
      <c r="J35" s="9">
        <f>ROUNDUP(((C32-F35) + ((C32-F35)*D32*18))/18, 0)</f>
        <v>3995</v>
      </c>
      <c r="K35" s="9">
        <f>ROUNDUP(((C32-F35) + ((C32-F35)*D32*24))/24, 0)</f>
        <v>3208</v>
      </c>
      <c r="L35" s="9">
        <f>ROUNDUP(((C32-F35) + ((C32-F35)*D32*30))/30, 0)</f>
        <v>2737</v>
      </c>
      <c r="M35" s="9">
        <f>ROUNDUP(((C32-F35) + ((C32-F35)*D32*36))/36, 0)</f>
        <v>2422</v>
      </c>
      <c r="N35" s="9">
        <f>ROUNDUP(((C32-F35) + ((C32-F35)*D32*48))/48, 0)</f>
        <v>2029</v>
      </c>
    </row>
    <row r="36" spans="1:14" x14ac:dyDescent="0.2">
      <c r="A36" s="36" t="s">
        <v>29</v>
      </c>
      <c r="B36" s="36" t="s">
        <v>30</v>
      </c>
      <c r="C36" s="31">
        <v>71200</v>
      </c>
      <c r="D36" s="32">
        <v>1.4999999999999999E-2</v>
      </c>
      <c r="E36" s="3">
        <v>0</v>
      </c>
      <c r="F36" s="4">
        <v>5900</v>
      </c>
      <c r="G36" s="31">
        <v>1000</v>
      </c>
      <c r="H36" s="5">
        <f>F36+G36</f>
        <v>6900</v>
      </c>
      <c r="I36" s="5">
        <f>ROUNDUP(((C36-F36) + ((C36-F36)*D36*12))/12, 0)</f>
        <v>6422</v>
      </c>
      <c r="J36" s="5">
        <f>ROUNDUP(((C36-F36) + ((C36-F36)*D36*18))/18, 0)</f>
        <v>4608</v>
      </c>
      <c r="K36" s="5">
        <f>ROUNDUP(((C36-F36) + ((C36-F36)*D36*24))/24, 0)</f>
        <v>3701</v>
      </c>
      <c r="L36" s="5">
        <f>ROUNDUP(((C36-F36) + ((C36-F36)*D36*30))/30, 0)</f>
        <v>3157</v>
      </c>
      <c r="M36" s="5">
        <f>ROUNDUP(((C36-F36) + ((C36-F36)*D36*36))/36, 0)</f>
        <v>2794</v>
      </c>
      <c r="N36" s="6">
        <f>ROUNDUP(((C36-F36) + ((C36-F36)*D36*48))/48, 0)</f>
        <v>2340</v>
      </c>
    </row>
    <row r="37" spans="1:14" x14ac:dyDescent="0.2">
      <c r="A37" s="29"/>
      <c r="B37" s="29"/>
      <c r="C37" s="29"/>
      <c r="D37" s="29"/>
      <c r="E37" s="8">
        <v>0.05</v>
      </c>
      <c r="F37" s="9">
        <f>ROUND(C36*E37, 0)</f>
        <v>3560</v>
      </c>
      <c r="G37" s="29"/>
      <c r="H37" s="9">
        <f>F37+G36</f>
        <v>4560</v>
      </c>
      <c r="I37" s="9">
        <f>ROUNDUP(((C36-F37) + ((C36-F37)*D36*12))/12, 0)</f>
        <v>6652</v>
      </c>
      <c r="J37" s="9">
        <f>ROUNDUP(((C36-F37) + ((C36-F37)*D36*18))/18, 0)</f>
        <v>4773</v>
      </c>
      <c r="K37" s="9">
        <f>ROUNDUP(((C36-F37) + ((C36-F37)*D36*24))/24, 0)</f>
        <v>3833</v>
      </c>
      <c r="L37" s="9">
        <f>ROUNDUP(((C36-F37) + ((C36-F37)*D36*30))/30, 0)</f>
        <v>3270</v>
      </c>
      <c r="M37" s="9">
        <f>ROUNDUP(((C36-F37) + ((C36-F37)*D36*36))/36, 0)</f>
        <v>2894</v>
      </c>
      <c r="N37" s="9">
        <f>ROUNDUP(((C36-F37) + ((C36-F37)*D36*48))/48, 0)</f>
        <v>2424</v>
      </c>
    </row>
    <row r="38" spans="1:14" x14ac:dyDescent="0.2">
      <c r="A38" s="29"/>
      <c r="B38" s="29"/>
      <c r="C38" s="29"/>
      <c r="D38" s="29"/>
      <c r="E38" s="8">
        <v>0.1</v>
      </c>
      <c r="F38" s="9">
        <f>ROUND(C36*E38, 0)</f>
        <v>7120</v>
      </c>
      <c r="G38" s="29"/>
      <c r="H38" s="9">
        <f>F38+G36</f>
        <v>8120</v>
      </c>
      <c r="I38" s="9">
        <f>ROUNDUP(((C36-F38) + ((C36-F38)*D36*12))/12, 0)</f>
        <v>6302</v>
      </c>
      <c r="J38" s="9">
        <f>ROUNDUP(((C36-F38) + ((C36-F38)*D36*18))/18, 0)</f>
        <v>4522</v>
      </c>
      <c r="K38" s="9">
        <f>ROUNDUP(((C36-F38) + ((C36-F38)*D36*24))/24, 0)</f>
        <v>3632</v>
      </c>
      <c r="L38" s="9">
        <f>ROUNDUP(((C36-F38) + ((C36-F38)*D36*30))/30, 0)</f>
        <v>3098</v>
      </c>
      <c r="M38" s="9">
        <f>ROUNDUP(((C36-F38) + ((C36-F38)*D36*36))/36, 0)</f>
        <v>2742</v>
      </c>
      <c r="N38" s="9">
        <f>ROUNDUP(((C36-F38) + ((C36-F38)*D36*48))/48, 0)</f>
        <v>2297</v>
      </c>
    </row>
    <row r="39" spans="1:14" x14ac:dyDescent="0.2">
      <c r="A39" s="30"/>
      <c r="B39" s="30"/>
      <c r="C39" s="30"/>
      <c r="D39" s="30"/>
      <c r="E39" s="8">
        <v>0.15</v>
      </c>
      <c r="F39" s="9">
        <f>ROUND(C36*E39, 0)</f>
        <v>10680</v>
      </c>
      <c r="G39" s="30"/>
      <c r="H39" s="9">
        <f>F39+G36</f>
        <v>11680</v>
      </c>
      <c r="I39" s="9">
        <f>ROUNDUP(((C36-F39) + ((C36-F39)*D36*12))/12, 0)</f>
        <v>5952</v>
      </c>
      <c r="J39" s="9">
        <f>ROUNDUP(((C36-F39) + ((C36-F39)*D36*18))/18, 0)</f>
        <v>4271</v>
      </c>
      <c r="K39" s="9">
        <f>ROUNDUP(((C36-F39) + ((C36-F39)*D36*24))/24, 0)</f>
        <v>3430</v>
      </c>
      <c r="L39" s="9">
        <f>ROUNDUP(((C36-F39) + ((C36-F39)*D36*30))/30, 0)</f>
        <v>2926</v>
      </c>
      <c r="M39" s="9">
        <f>ROUNDUP(((C36-F39) + ((C36-F39)*D36*36))/36, 0)</f>
        <v>2589</v>
      </c>
      <c r="N39" s="9">
        <f>ROUNDUP(((C36-F39) + ((C36-F39)*D36*48))/48, 0)</f>
        <v>2169</v>
      </c>
    </row>
    <row r="40" spans="1:14" x14ac:dyDescent="0.2">
      <c r="A40" s="36" t="s">
        <v>31</v>
      </c>
      <c r="B40" s="36" t="s">
        <v>32</v>
      </c>
      <c r="C40" s="31">
        <v>76200</v>
      </c>
      <c r="D40" s="32">
        <v>1.4999999999999999E-2</v>
      </c>
      <c r="E40" s="3">
        <v>0</v>
      </c>
      <c r="F40" s="4">
        <v>6900</v>
      </c>
      <c r="G40" s="31">
        <v>1000</v>
      </c>
      <c r="H40" s="5">
        <f>F40+G40</f>
        <v>7900</v>
      </c>
      <c r="I40" s="5">
        <f>ROUNDUP(((C40-F40) + ((C40-F40)*D40*12))/12, 0)</f>
        <v>6815</v>
      </c>
      <c r="J40" s="5">
        <f>ROUNDUP(((C40-F40) + ((C40-F40)*D40*18))/18, 0)</f>
        <v>4890</v>
      </c>
      <c r="K40" s="5">
        <f>ROUNDUP(((C40-F40) + ((C40-F40)*D40*24))/24, 0)</f>
        <v>3927</v>
      </c>
      <c r="L40" s="5">
        <f>ROUNDUP(((C40-F40) + ((C40-F40)*D40*30))/30, 0)</f>
        <v>3350</v>
      </c>
      <c r="M40" s="5">
        <f>ROUNDUP(((C40-F40) + ((C40-F40)*D40*36))/36, 0)</f>
        <v>2965</v>
      </c>
      <c r="N40" s="6">
        <f>ROUNDUP(((C40-F40) + ((C40-F40)*D40*48))/48, 0)</f>
        <v>2484</v>
      </c>
    </row>
    <row r="41" spans="1:14" x14ac:dyDescent="0.2">
      <c r="A41" s="29"/>
      <c r="B41" s="29"/>
      <c r="C41" s="29"/>
      <c r="D41" s="29"/>
      <c r="E41" s="8">
        <v>0.05</v>
      </c>
      <c r="F41" s="9">
        <f>ROUND(C40*E41, 0)</f>
        <v>3810</v>
      </c>
      <c r="G41" s="29"/>
      <c r="H41" s="9">
        <f>F41+G40</f>
        <v>4810</v>
      </c>
      <c r="I41" s="9">
        <f>ROUNDUP(((C40-F41) + ((C40-F41)*D40*12))/12, 0)</f>
        <v>7119</v>
      </c>
      <c r="J41" s="9">
        <f>ROUNDUP(((C40-F41) + ((C40-F41)*D40*18))/18, 0)</f>
        <v>5108</v>
      </c>
      <c r="K41" s="9">
        <f>ROUNDUP(((C40-F41) + ((C40-F41)*D40*24))/24, 0)</f>
        <v>4103</v>
      </c>
      <c r="L41" s="9">
        <f>ROUNDUP(((C40-F41) + ((C40-F41)*D40*30))/30, 0)</f>
        <v>3499</v>
      </c>
      <c r="M41" s="9">
        <f>ROUNDUP(((C40-F41) + ((C40-F41)*D40*36))/36, 0)</f>
        <v>3097</v>
      </c>
      <c r="N41" s="9">
        <f>ROUNDUP(((C40-F41) + ((C40-F41)*D40*48))/48, 0)</f>
        <v>2594</v>
      </c>
    </row>
    <row r="42" spans="1:14" x14ac:dyDescent="0.2">
      <c r="A42" s="29"/>
      <c r="B42" s="29"/>
      <c r="C42" s="29"/>
      <c r="D42" s="29"/>
      <c r="E42" s="8">
        <v>0.1</v>
      </c>
      <c r="F42" s="9">
        <f>ROUND(C40*E42, 0)</f>
        <v>7620</v>
      </c>
      <c r="G42" s="29"/>
      <c r="H42" s="9">
        <f>F42+G40</f>
        <v>8620</v>
      </c>
      <c r="I42" s="9">
        <f>ROUNDUP(((C40-F42) + ((C40-F42)*D40*12))/12, 0)</f>
        <v>6744</v>
      </c>
      <c r="J42" s="9">
        <f>ROUNDUP(((C40-F42) + ((C40-F42)*D40*18))/18, 0)</f>
        <v>4839</v>
      </c>
      <c r="K42" s="9">
        <f>ROUNDUP(((C40-F42) + ((C40-F42)*D40*24))/24, 0)</f>
        <v>3887</v>
      </c>
      <c r="L42" s="9">
        <f>ROUNDUP(((C40-F42) + ((C40-F42)*D40*30))/30, 0)</f>
        <v>3315</v>
      </c>
      <c r="M42" s="9">
        <f>ROUNDUP(((C40-F42) + ((C40-F42)*D40*36))/36, 0)</f>
        <v>2934</v>
      </c>
      <c r="N42" s="9">
        <f>ROUNDUP(((C40-F42) + ((C40-F42)*D40*48))/48, 0)</f>
        <v>2458</v>
      </c>
    </row>
    <row r="43" spans="1:14" x14ac:dyDescent="0.2">
      <c r="A43" s="30"/>
      <c r="B43" s="30"/>
      <c r="C43" s="30"/>
      <c r="D43" s="30"/>
      <c r="E43" s="8">
        <v>0.15</v>
      </c>
      <c r="F43" s="9">
        <v>25000</v>
      </c>
      <c r="G43" s="30"/>
      <c r="H43" s="9">
        <f>F43+G40</f>
        <v>26000</v>
      </c>
      <c r="I43" s="9">
        <f>ROUNDUP(((C40-F43) + ((C40-F43)*D40*12))/12, 0)</f>
        <v>5035</v>
      </c>
      <c r="J43" s="9">
        <f>ROUNDUP(((C40-F43) + ((C40-F43)*D40*18))/18, 0)</f>
        <v>3613</v>
      </c>
      <c r="K43" s="9">
        <f>ROUNDUP(((C40-F43) + ((C40-F43)*D40*24))/24, 0)</f>
        <v>2902</v>
      </c>
      <c r="L43" s="9">
        <f>ROUNDUP(((C40-F43) + ((C40-F43)*D40*30))/30, 0)</f>
        <v>2475</v>
      </c>
      <c r="M43" s="9">
        <f>ROUNDUP(((C40-F43) + ((C40-F43)*D40*36))/36, 0)</f>
        <v>2191</v>
      </c>
      <c r="N43" s="9">
        <f>ROUNDUP(((C40-F43) + ((C40-F43)*D40*48))/48, 0)</f>
        <v>1835</v>
      </c>
    </row>
    <row r="44" spans="1:14" x14ac:dyDescent="0.2">
      <c r="A44" s="36" t="s">
        <v>33</v>
      </c>
      <c r="B44" s="36" t="s">
        <v>34</v>
      </c>
      <c r="C44" s="31">
        <v>100200</v>
      </c>
      <c r="D44" s="32">
        <v>1.29E-2</v>
      </c>
      <c r="E44" s="3">
        <v>0</v>
      </c>
      <c r="F44" s="4">
        <v>7900</v>
      </c>
      <c r="G44" s="31">
        <v>1000</v>
      </c>
      <c r="H44" s="5">
        <f>F44+G44</f>
        <v>8900</v>
      </c>
      <c r="I44" s="5">
        <f>ROUNDUP(((C44-F44) + ((C44-F44)*D44*12))/12, 0)</f>
        <v>8883</v>
      </c>
      <c r="J44" s="5">
        <f>ROUNDUP(((C44-F44) + ((C44-F44)*D44*18))/18, 0)</f>
        <v>6319</v>
      </c>
      <c r="K44" s="5">
        <f>ROUNDUP(((C44-F44) + ((C44-F44)*D44*24))/24, 0)</f>
        <v>5037</v>
      </c>
      <c r="L44" s="5">
        <f>ROUNDUP(((C44-F44) + ((C44-F44)*D44*30))/30, 0)</f>
        <v>4268</v>
      </c>
      <c r="M44" s="5">
        <f>ROUNDUP(((C44-F44) + ((C44-F44)*D44*36))/36, 0)</f>
        <v>3755</v>
      </c>
      <c r="N44" s="6">
        <f>ROUNDUP(((C44-F44) + ((C44-F44)*D44*48))/48, 0)</f>
        <v>3114</v>
      </c>
    </row>
    <row r="45" spans="1:14" x14ac:dyDescent="0.2">
      <c r="A45" s="29"/>
      <c r="B45" s="29"/>
      <c r="C45" s="29"/>
      <c r="D45" s="29"/>
      <c r="E45" s="8">
        <v>0.05</v>
      </c>
      <c r="F45" s="9">
        <f>ROUND(C44*E45, 0)</f>
        <v>5010</v>
      </c>
      <c r="G45" s="29"/>
      <c r="H45" s="9">
        <f>F45+G44</f>
        <v>6010</v>
      </c>
      <c r="I45" s="9">
        <f>ROUNDUP(((C44-F45) + ((C44-F45)*D44*12))/12, 0)</f>
        <v>9161</v>
      </c>
      <c r="J45" s="9">
        <f>ROUNDUP(((C44-F45) + ((C44-F45)*D44*18))/18, 0)</f>
        <v>6517</v>
      </c>
      <c r="K45" s="9">
        <f>ROUNDUP(((C44-F45) + ((C44-F45)*D44*24))/24, 0)</f>
        <v>5195</v>
      </c>
      <c r="L45" s="9">
        <f>ROUNDUP(((C44-F45) + ((C44-F45)*D44*30))/30, 0)</f>
        <v>4401</v>
      </c>
      <c r="M45" s="9">
        <f>ROUNDUP(((C44-F45) + ((C44-F45)*D44*36))/36, 0)</f>
        <v>3873</v>
      </c>
      <c r="N45" s="9">
        <f>ROUNDUP(((C44-F45) + ((C44-F45)*D44*48))/48, 0)</f>
        <v>3212</v>
      </c>
    </row>
    <row r="46" spans="1:14" x14ac:dyDescent="0.2">
      <c r="A46" s="29"/>
      <c r="B46" s="29"/>
      <c r="C46" s="29"/>
      <c r="D46" s="29"/>
      <c r="E46" s="8">
        <v>0.1</v>
      </c>
      <c r="F46" s="9">
        <f>ROUND(C44*E46, 0)</f>
        <v>10020</v>
      </c>
      <c r="G46" s="29"/>
      <c r="H46" s="9">
        <f>F46+G44</f>
        <v>11020</v>
      </c>
      <c r="I46" s="9">
        <f>ROUNDUP(((C44-F46) + ((C44-F46)*D44*12))/12, 0)</f>
        <v>8679</v>
      </c>
      <c r="J46" s="9">
        <f>ROUNDUP(((C44-F46) + ((C44-F46)*D44*18))/18, 0)</f>
        <v>6174</v>
      </c>
      <c r="K46" s="9">
        <f>ROUNDUP(((C44-F46) + ((C44-F46)*D44*24))/24, 0)</f>
        <v>4921</v>
      </c>
      <c r="L46" s="9">
        <f>ROUNDUP(((C44-F46) + ((C44-F46)*D44*30))/30, 0)</f>
        <v>4170</v>
      </c>
      <c r="M46" s="9">
        <f>ROUNDUP(((C44-F46) + ((C44-F46)*D44*36))/36, 0)</f>
        <v>3669</v>
      </c>
      <c r="N46" s="9">
        <f>ROUNDUP(((C44-F46) + ((C44-F46)*D44*48))/48, 0)</f>
        <v>3043</v>
      </c>
    </row>
    <row r="47" spans="1:14" x14ac:dyDescent="0.2">
      <c r="A47" s="30"/>
      <c r="B47" s="30"/>
      <c r="C47" s="30"/>
      <c r="D47" s="30"/>
      <c r="E47" s="8">
        <v>0.15</v>
      </c>
      <c r="F47" s="9">
        <f>ROUND(C44*E47, 0)</f>
        <v>15030</v>
      </c>
      <c r="G47" s="30"/>
      <c r="H47" s="9">
        <f>F47+G44</f>
        <v>16030</v>
      </c>
      <c r="I47" s="9">
        <f>ROUNDUP(((C44-F47) + ((C44-F47)*D44*12))/12, 0)</f>
        <v>8197</v>
      </c>
      <c r="J47" s="9">
        <f>ROUNDUP(((C44-F47) + ((C44-F47)*D44*18))/18, 0)</f>
        <v>5831</v>
      </c>
      <c r="K47" s="9">
        <f>ROUNDUP(((C44-F47) + ((C44-F47)*D44*24))/24, 0)</f>
        <v>4648</v>
      </c>
      <c r="L47" s="9">
        <f>ROUNDUP(((C44-F47) + ((C44-F47)*D44*30))/30, 0)</f>
        <v>3938</v>
      </c>
      <c r="M47" s="9">
        <f>ROUNDUP(((C44-F47) + ((C44-F47)*D44*36))/36, 0)</f>
        <v>3465</v>
      </c>
      <c r="N47" s="9">
        <f>ROUNDUP(((C44-F47) + ((C44-F47)*D44*48))/48, 0)</f>
        <v>2874</v>
      </c>
    </row>
    <row r="48" spans="1:14" x14ac:dyDescent="0.2">
      <c r="A48" s="36" t="s">
        <v>35</v>
      </c>
      <c r="B48" s="36" t="s">
        <v>36</v>
      </c>
      <c r="C48" s="31">
        <v>130200</v>
      </c>
      <c r="D48" s="32">
        <v>1.29E-2</v>
      </c>
      <c r="E48" s="3">
        <v>0</v>
      </c>
      <c r="F48" s="4">
        <v>15000</v>
      </c>
      <c r="G48" s="31">
        <v>1000</v>
      </c>
      <c r="H48" s="5">
        <f>F48+G48</f>
        <v>16000</v>
      </c>
      <c r="I48" s="5">
        <f>ROUNDUP(((C48-F48) + ((C48-F48)*D48*12))/12, 0)</f>
        <v>11087</v>
      </c>
      <c r="J48" s="5">
        <f>ROUNDUP(((C48-F48) + ((C48-F48)*D48*18))/18, 0)</f>
        <v>7887</v>
      </c>
      <c r="K48" s="5">
        <f>ROUNDUP(((C48-F48) + ((C48-F48)*D48*24))/24, 0)</f>
        <v>6287</v>
      </c>
      <c r="L48" s="5">
        <f>ROUNDUP(((C48-F48) + ((C48-F48)*D48*30))/30, 0)</f>
        <v>5327</v>
      </c>
      <c r="M48" s="5">
        <f>ROUNDUP(((C48-F48) + ((C48-F48)*D48*36))/36, 0)</f>
        <v>4687</v>
      </c>
      <c r="N48" s="6">
        <f>ROUNDUP(((C48-F48) + ((C48-F48)*D48*48))/48, 0)</f>
        <v>3887</v>
      </c>
    </row>
    <row r="49" spans="1:14" x14ac:dyDescent="0.2">
      <c r="A49" s="29"/>
      <c r="B49" s="29"/>
      <c r="C49" s="29"/>
      <c r="D49" s="29"/>
      <c r="E49" s="8">
        <v>0.05</v>
      </c>
      <c r="F49" s="9">
        <f>ROUND(C48*E49, 0)</f>
        <v>6510</v>
      </c>
      <c r="G49" s="29"/>
      <c r="H49" s="9">
        <f>F49+G48</f>
        <v>7510</v>
      </c>
      <c r="I49" s="9">
        <f>ROUNDUP(((C48-F49) + ((C48-F49)*D48*12))/12, 0)</f>
        <v>11904</v>
      </c>
      <c r="J49" s="9">
        <f>ROUNDUP(((C48-F49) + ((C48-F49)*D48*18))/18, 0)</f>
        <v>8468</v>
      </c>
      <c r="K49" s="9">
        <f>ROUNDUP(((C48-F49) + ((C48-F49)*D48*24))/24, 0)</f>
        <v>6750</v>
      </c>
      <c r="L49" s="9">
        <f>ROUNDUP(((C48-F49) + ((C48-F49)*D48*30))/30, 0)</f>
        <v>5719</v>
      </c>
      <c r="M49" s="9">
        <f>ROUNDUP(((C48-F49) + ((C48-F49)*D48*36))/36, 0)</f>
        <v>5032</v>
      </c>
      <c r="N49" s="9">
        <f>ROUNDUP(((C48-F49) + ((C48-F49)*D48*48))/48, 0)</f>
        <v>4173</v>
      </c>
    </row>
    <row r="50" spans="1:14" x14ac:dyDescent="0.2">
      <c r="A50" s="29"/>
      <c r="B50" s="29"/>
      <c r="C50" s="29"/>
      <c r="D50" s="29"/>
      <c r="E50" s="8">
        <v>0.1</v>
      </c>
      <c r="F50" s="9">
        <f>ROUND(C48*E50, 0)</f>
        <v>13020</v>
      </c>
      <c r="G50" s="29"/>
      <c r="H50" s="9">
        <f>F50+G48</f>
        <v>14020</v>
      </c>
      <c r="I50" s="9">
        <f>ROUNDUP(((C48-F50) + ((C48-F50)*D48*12))/12, 0)</f>
        <v>11277</v>
      </c>
      <c r="J50" s="9">
        <f>ROUNDUP(((C48-F50) + ((C48-F50)*D48*18))/18, 0)</f>
        <v>8022</v>
      </c>
      <c r="K50" s="9">
        <f>ROUNDUP(((C48-F50) + ((C48-F50)*D48*24))/24, 0)</f>
        <v>6395</v>
      </c>
      <c r="L50" s="9">
        <f>ROUNDUP(((C48-F50) + ((C48-F50)*D48*30))/30, 0)</f>
        <v>5418</v>
      </c>
      <c r="M50" s="9">
        <f>ROUNDUP(((C48-F50) + ((C48-F50)*D48*36))/36, 0)</f>
        <v>4767</v>
      </c>
      <c r="N50" s="9">
        <f>ROUNDUP(((C48-F50) + ((C48-F50)*D48*48))/48, 0)</f>
        <v>3953</v>
      </c>
    </row>
    <row r="51" spans="1:14" x14ac:dyDescent="0.2">
      <c r="A51" s="30"/>
      <c r="B51" s="30"/>
      <c r="C51" s="30"/>
      <c r="D51" s="30"/>
      <c r="E51" s="8">
        <v>0.15</v>
      </c>
      <c r="F51" s="9">
        <f>ROUND(C48*E51, 0)</f>
        <v>19530</v>
      </c>
      <c r="G51" s="30"/>
      <c r="H51" s="9">
        <f>F51+G48</f>
        <v>20530</v>
      </c>
      <c r="I51" s="9">
        <f>ROUNDUP(((C48-F51) + ((C48-F51)*D48*12))/12, 0)</f>
        <v>10651</v>
      </c>
      <c r="J51" s="9">
        <f>ROUNDUP(((C48-F51) + ((C48-F51)*D48*18))/18, 0)</f>
        <v>7576</v>
      </c>
      <c r="K51" s="9">
        <f>ROUNDUP(((C48-F51) + ((C48-F51)*D48*24))/24, 0)</f>
        <v>6039</v>
      </c>
      <c r="L51" s="9">
        <f>ROUNDUP(((C48-F51) + ((C48-F51)*D48*30))/30, 0)</f>
        <v>5117</v>
      </c>
      <c r="M51" s="9">
        <f>ROUNDUP(((C48-F51) + ((C48-F51)*D48*36))/36, 0)</f>
        <v>4502</v>
      </c>
      <c r="N51" s="9">
        <f>ROUNDUP(((C48-F51) + ((C48-F51)*D48*48))/48, 0)</f>
        <v>3734</v>
      </c>
    </row>
    <row r="52" spans="1:14" x14ac:dyDescent="0.2">
      <c r="A52" s="36" t="s">
        <v>37</v>
      </c>
      <c r="B52" s="36" t="s">
        <v>38</v>
      </c>
      <c r="C52" s="31">
        <v>99700</v>
      </c>
      <c r="D52" s="32">
        <v>1.29E-2</v>
      </c>
      <c r="E52" s="3">
        <v>0</v>
      </c>
      <c r="F52" s="4">
        <v>10000</v>
      </c>
      <c r="G52" s="31">
        <v>1000</v>
      </c>
      <c r="H52" s="5">
        <f>F52+G52</f>
        <v>11000</v>
      </c>
      <c r="I52" s="5">
        <f>ROUNDUP(((C52-F52) + ((C52-F52)*D52*12))/12, 0)</f>
        <v>8633</v>
      </c>
      <c r="J52" s="5">
        <f>ROUNDUP(((C52-F52) + ((C52-F52)*D52*18))/18, 0)</f>
        <v>6141</v>
      </c>
      <c r="K52" s="5">
        <f>ROUNDUP(((C52-F52) + ((C52-F52)*D52*24))/24, 0)</f>
        <v>4895</v>
      </c>
      <c r="L52" s="5">
        <f>ROUNDUP(((C52-F52) + ((C52-F52)*D52*30))/30, 0)</f>
        <v>4148</v>
      </c>
      <c r="M52" s="5">
        <f>ROUNDUP(((C52-F52) + ((C52-F52)*D52*36))/36, 0)</f>
        <v>3649</v>
      </c>
      <c r="N52" s="6">
        <f>ROUNDUP(((C52-F52) + ((C52-F52)*D52*48))/48, 0)</f>
        <v>3026</v>
      </c>
    </row>
    <row r="53" spans="1:14" x14ac:dyDescent="0.2">
      <c r="A53" s="29"/>
      <c r="B53" s="29"/>
      <c r="C53" s="29"/>
      <c r="D53" s="29"/>
      <c r="E53" s="8">
        <v>0.05</v>
      </c>
      <c r="F53" s="9">
        <f>ROUND(C52*E53, 0)</f>
        <v>4985</v>
      </c>
      <c r="G53" s="29"/>
      <c r="H53" s="9">
        <f>F53+G52</f>
        <v>5985</v>
      </c>
      <c r="I53" s="9">
        <f>ROUNDUP(((C52-F53) + ((C52-F53)*D52*12))/12, 0)</f>
        <v>9115</v>
      </c>
      <c r="J53" s="9">
        <f>ROUNDUP(((C52-F53) + ((C52-F53)*D52*18))/18, 0)</f>
        <v>6484</v>
      </c>
      <c r="K53" s="9">
        <f>ROUNDUP(((C52-F53) + ((C52-F53)*D52*24))/24, 0)</f>
        <v>5169</v>
      </c>
      <c r="L53" s="9">
        <f>ROUNDUP(((C52-F53) + ((C52-F53)*D52*30))/30, 0)</f>
        <v>4379</v>
      </c>
      <c r="M53" s="9">
        <f>ROUNDUP(((C52-F53) + ((C52-F53)*D52*36))/36, 0)</f>
        <v>3853</v>
      </c>
      <c r="N53" s="9">
        <f>ROUNDUP(((C52-F53) + ((C52-F53)*D52*48))/48, 0)</f>
        <v>3196</v>
      </c>
    </row>
    <row r="54" spans="1:14" x14ac:dyDescent="0.2">
      <c r="A54" s="29"/>
      <c r="B54" s="29"/>
      <c r="C54" s="29"/>
      <c r="D54" s="29"/>
      <c r="E54" s="8">
        <v>0.1</v>
      </c>
      <c r="F54" s="9">
        <f>ROUND(C52*E54, 0)</f>
        <v>9970</v>
      </c>
      <c r="G54" s="29"/>
      <c r="H54" s="9">
        <f>F54+G52</f>
        <v>10970</v>
      </c>
      <c r="I54" s="9">
        <f>ROUNDUP(((C52-F54) + ((C52-F54)*D52*12))/12, 0)</f>
        <v>8636</v>
      </c>
      <c r="J54" s="9">
        <f>ROUNDUP(((C52-F54) + ((C52-F54)*D52*18))/18, 0)</f>
        <v>6143</v>
      </c>
      <c r="K54" s="9">
        <f>ROUNDUP(((C52-F54) + ((C52-F54)*D52*24))/24, 0)</f>
        <v>4897</v>
      </c>
      <c r="L54" s="9">
        <f>ROUNDUP(((C52-F54) + ((C52-F54)*D52*30))/30, 0)</f>
        <v>4149</v>
      </c>
      <c r="M54" s="9">
        <f>ROUNDUP(((C52-F54) + ((C52-F54)*D52*36))/36, 0)</f>
        <v>3651</v>
      </c>
      <c r="N54" s="9">
        <f>ROUNDUP(((C52-F54) + ((C52-F54)*D52*48))/48, 0)</f>
        <v>3027</v>
      </c>
    </row>
    <row r="55" spans="1:14" x14ac:dyDescent="0.2">
      <c r="A55" s="30"/>
      <c r="B55" s="30"/>
      <c r="C55" s="30"/>
      <c r="D55" s="30"/>
      <c r="E55" s="8">
        <v>0.15</v>
      </c>
      <c r="F55" s="9">
        <f>ROUND(C52*E55, 0)</f>
        <v>14955</v>
      </c>
      <c r="G55" s="30"/>
      <c r="H55" s="9">
        <f>F55+G52</f>
        <v>15955</v>
      </c>
      <c r="I55" s="9">
        <f>ROUNDUP(((C52-F55) + ((C52-F55)*D52*12))/12, 0)</f>
        <v>8156</v>
      </c>
      <c r="J55" s="9">
        <f>ROUNDUP(((C52-F55) + ((C52-F55)*D52*18))/18, 0)</f>
        <v>5802</v>
      </c>
      <c r="K55" s="9">
        <f>ROUNDUP(((C52-F55) + ((C52-F55)*D52*24))/24, 0)</f>
        <v>4625</v>
      </c>
      <c r="L55" s="9">
        <f>ROUNDUP(((C52-F55) + ((C52-F55)*D52*30))/30, 0)</f>
        <v>3919</v>
      </c>
      <c r="M55" s="9">
        <f>ROUNDUP(((C52-F55) + ((C52-F55)*D52*36))/36, 0)</f>
        <v>3448</v>
      </c>
      <c r="N55" s="9">
        <f>ROUNDUP(((C52-F55) + ((C52-F55)*D52*48))/48, 0)</f>
        <v>2859</v>
      </c>
    </row>
    <row r="56" spans="1:14" x14ac:dyDescent="0.2">
      <c r="A56" s="36" t="s">
        <v>39</v>
      </c>
      <c r="B56" s="36" t="s">
        <v>40</v>
      </c>
      <c r="C56" s="31">
        <v>109200</v>
      </c>
      <c r="D56" s="32">
        <v>1.29E-2</v>
      </c>
      <c r="E56" s="3">
        <v>0</v>
      </c>
      <c r="F56" s="4">
        <v>15900</v>
      </c>
      <c r="G56" s="31">
        <v>1000</v>
      </c>
      <c r="H56" s="5">
        <f>F56+G56</f>
        <v>16900</v>
      </c>
      <c r="I56" s="5">
        <f>ROUNDUP(((C56-F56) + ((C56-F56)*D56*12))/12, 0)</f>
        <v>8979</v>
      </c>
      <c r="J56" s="5">
        <f>ROUNDUP(((C56-F56) + ((C56-F56)*D56*18))/18, 0)</f>
        <v>6387</v>
      </c>
      <c r="K56" s="5">
        <f>ROUNDUP(((C56-F56) + ((C56-F56)*D56*24))/24, 0)</f>
        <v>5092</v>
      </c>
      <c r="L56" s="5">
        <f>ROUNDUP(((C56-F56) + ((C56-F56)*D56*30))/30, 0)</f>
        <v>4314</v>
      </c>
      <c r="M56" s="5">
        <f>ROUNDUP(((C56-F56) + ((C56-F56)*D56*36))/36, 0)</f>
        <v>3796</v>
      </c>
      <c r="N56" s="6">
        <f>ROUNDUP(((C56-F56) + ((C56-F56)*D56*48))/48, 0)</f>
        <v>3148</v>
      </c>
    </row>
    <row r="57" spans="1:14" x14ac:dyDescent="0.2">
      <c r="A57" s="29"/>
      <c r="B57" s="29"/>
      <c r="C57" s="29"/>
      <c r="D57" s="29"/>
      <c r="E57" s="8">
        <v>0.05</v>
      </c>
      <c r="F57" s="9">
        <f>ROUND(C56*E57, 0)</f>
        <v>5460</v>
      </c>
      <c r="G57" s="29"/>
      <c r="H57" s="9">
        <f>F57+G56</f>
        <v>6460</v>
      </c>
      <c r="I57" s="9">
        <f>ROUNDUP(((C56-F57) + ((C56-F57)*D56*12))/12, 0)</f>
        <v>9984</v>
      </c>
      <c r="J57" s="9">
        <f>ROUNDUP(((C56-F57) + ((C56-F57)*D56*18))/18, 0)</f>
        <v>7102</v>
      </c>
      <c r="K57" s="9">
        <f>ROUNDUP(((C56-F57) + ((C56-F57)*D56*24))/24, 0)</f>
        <v>5661</v>
      </c>
      <c r="L57" s="9">
        <f>ROUNDUP(((C56-F57) + ((C56-F57)*D56*30))/30, 0)</f>
        <v>4797</v>
      </c>
      <c r="M57" s="9">
        <f>ROUNDUP(((C56-F57) + ((C56-F57)*D56*36))/36, 0)</f>
        <v>4220</v>
      </c>
      <c r="N57" s="9">
        <f>ROUNDUP(((C56-F57) + ((C56-F57)*D56*48))/48, 0)</f>
        <v>3500</v>
      </c>
    </row>
    <row r="58" spans="1:14" x14ac:dyDescent="0.2">
      <c r="A58" s="29"/>
      <c r="B58" s="29"/>
      <c r="C58" s="29"/>
      <c r="D58" s="29"/>
      <c r="E58" s="8">
        <v>0.1</v>
      </c>
      <c r="F58" s="9">
        <f>ROUND(C56*E58, 0)</f>
        <v>10920</v>
      </c>
      <c r="G58" s="29"/>
      <c r="H58" s="9">
        <f>F58+G56</f>
        <v>11920</v>
      </c>
      <c r="I58" s="9">
        <f>ROUNDUP(((C56-F58) + ((C56-F58)*D56*12))/12, 0)</f>
        <v>9458</v>
      </c>
      <c r="J58" s="9">
        <f>ROUNDUP(((C56-F58) + ((C56-F58)*D56*18))/18, 0)</f>
        <v>6728</v>
      </c>
      <c r="K58" s="9">
        <f>ROUNDUP(((C56-F58) + ((C56-F58)*D56*24))/24, 0)</f>
        <v>5363</v>
      </c>
      <c r="L58" s="9">
        <f>ROUNDUP(((C56-F58) + ((C56-F58)*D56*30))/30, 0)</f>
        <v>4544</v>
      </c>
      <c r="M58" s="9">
        <f>ROUNDUP(((C56-F58) + ((C56-F58)*D56*36))/36, 0)</f>
        <v>3998</v>
      </c>
      <c r="N58" s="9">
        <f>ROUNDUP(((C56-F58) + ((C56-F58)*D56*48))/48, 0)</f>
        <v>3316</v>
      </c>
    </row>
    <row r="59" spans="1:14" x14ac:dyDescent="0.2">
      <c r="A59" s="30"/>
      <c r="B59" s="30"/>
      <c r="C59" s="30"/>
      <c r="D59" s="30"/>
      <c r="E59" s="8">
        <v>0.15</v>
      </c>
      <c r="F59" s="9">
        <f>ROUND(C56*E59, 0)</f>
        <v>16380</v>
      </c>
      <c r="G59" s="30"/>
      <c r="H59" s="9">
        <f>F59+G56</f>
        <v>17380</v>
      </c>
      <c r="I59" s="9">
        <f>ROUNDUP(((C56-F59) + ((C56-F59)*D56*12))/12, 0)</f>
        <v>8933</v>
      </c>
      <c r="J59" s="9">
        <f>ROUNDUP(((C56-F59) + ((C56-F59)*D56*18))/18, 0)</f>
        <v>6355</v>
      </c>
      <c r="K59" s="9">
        <f>ROUNDUP(((C56-F59) + ((C56-F59)*D56*24))/24, 0)</f>
        <v>5065</v>
      </c>
      <c r="L59" s="9">
        <f>ROUNDUP(((C56-F59) + ((C56-F59)*D56*30))/30, 0)</f>
        <v>4292</v>
      </c>
      <c r="M59" s="9">
        <f>ROUNDUP(((C56-F59) + ((C56-F59)*D56*36))/36, 0)</f>
        <v>3776</v>
      </c>
      <c r="N59" s="9">
        <f>ROUNDUP(((C56-F59) + ((C56-F59)*D56*48))/48, 0)</f>
        <v>3132</v>
      </c>
    </row>
    <row r="60" spans="1:14" x14ac:dyDescent="0.2">
      <c r="A60" s="36" t="s">
        <v>41</v>
      </c>
      <c r="B60" s="36" t="s">
        <v>42</v>
      </c>
      <c r="C60" s="31">
        <v>177000</v>
      </c>
      <c r="D60" s="32">
        <v>1.0999999999999999E-2</v>
      </c>
      <c r="E60" s="3">
        <v>0</v>
      </c>
      <c r="F60" s="4">
        <v>29900</v>
      </c>
      <c r="G60" s="31">
        <v>6000</v>
      </c>
      <c r="H60" s="5">
        <f>F60+G60</f>
        <v>35900</v>
      </c>
      <c r="I60" s="5">
        <f>ROUNDUP(((C60-F60) + ((C60-F60)*D60*12))/12, 0)</f>
        <v>13877</v>
      </c>
      <c r="J60" s="5">
        <f>ROUNDUP(((C60-F60) + ((C60-F60)*D60*18))/18, 0)</f>
        <v>9791</v>
      </c>
      <c r="K60" s="5">
        <f>ROUNDUP(((C60-F60) + ((C60-F60)*D60*24))/24, 0)</f>
        <v>7748</v>
      </c>
      <c r="L60" s="5">
        <f>ROUNDUP(((C60-F60) + ((C60-F60)*D60*30))/30, 0)</f>
        <v>6522</v>
      </c>
      <c r="M60" s="5">
        <f>ROUNDUP(((C60-F60) + ((C60-F60)*D60*36))/36, 0)</f>
        <v>5705</v>
      </c>
      <c r="N60" s="6">
        <f>ROUNDUP(((C60-F60) + ((C60-F60)*D60*48))/48, 0)</f>
        <v>4683</v>
      </c>
    </row>
    <row r="61" spans="1:14" x14ac:dyDescent="0.2">
      <c r="A61" s="29"/>
      <c r="B61" s="29"/>
      <c r="C61" s="29"/>
      <c r="D61" s="29"/>
      <c r="E61" s="8">
        <v>0.05</v>
      </c>
      <c r="F61" s="9">
        <f>ROUND(C60*E61, 0)</f>
        <v>8850</v>
      </c>
      <c r="G61" s="29"/>
      <c r="H61" s="9">
        <f>F61+G60</f>
        <v>14850</v>
      </c>
      <c r="I61" s="9">
        <f>ROUNDUP(((C60-F61) + ((C60-F61)*D60*12))/12, 0)</f>
        <v>15863</v>
      </c>
      <c r="J61" s="9">
        <f>ROUNDUP(((C60-F61) + ((C60-F61)*D60*18))/18, 0)</f>
        <v>11192</v>
      </c>
      <c r="K61" s="9">
        <f>ROUNDUP(((C60-F61) + ((C60-F61)*D60*24))/24, 0)</f>
        <v>8856</v>
      </c>
      <c r="L61" s="9">
        <f>ROUNDUP(((C60-F61) + ((C60-F61)*D60*30))/30, 0)</f>
        <v>7455</v>
      </c>
      <c r="M61" s="9">
        <f>ROUNDUP(((C60-F61) + ((C60-F61)*D60*36))/36, 0)</f>
        <v>6521</v>
      </c>
      <c r="N61" s="9">
        <f>ROUNDUP(((C60-F61) + ((C60-F61)*D60*48))/48, 0)</f>
        <v>5353</v>
      </c>
    </row>
    <row r="62" spans="1:14" x14ac:dyDescent="0.2">
      <c r="A62" s="29"/>
      <c r="B62" s="29"/>
      <c r="C62" s="29"/>
      <c r="D62" s="29"/>
      <c r="E62" s="8">
        <v>0.1</v>
      </c>
      <c r="F62" s="9">
        <f>ROUND(C60*E62, 0)</f>
        <v>17700</v>
      </c>
      <c r="G62" s="29"/>
      <c r="H62" s="9">
        <f>F62+G60</f>
        <v>23700</v>
      </c>
      <c r="I62" s="9">
        <f>ROUNDUP(((C60-F62) + ((C60-F62)*D60*12))/12, 0)</f>
        <v>15028</v>
      </c>
      <c r="J62" s="9">
        <f>ROUNDUP(((C60-F62) + ((C60-F62)*D60*18))/18, 0)</f>
        <v>10603</v>
      </c>
      <c r="K62" s="9">
        <f>ROUNDUP(((C60-F62) + ((C60-F62)*D60*24))/24, 0)</f>
        <v>8390</v>
      </c>
      <c r="L62" s="9">
        <f>ROUNDUP(((C60-F62) + ((C60-F62)*D60*30))/30, 0)</f>
        <v>7063</v>
      </c>
      <c r="M62" s="9">
        <f>ROUNDUP(((C60-F62) + ((C60-F62)*D60*36))/36, 0)</f>
        <v>6178</v>
      </c>
      <c r="N62" s="9">
        <f>ROUNDUP(((C60-F62) + ((C60-F62)*D60*48))/48, 0)</f>
        <v>5072</v>
      </c>
    </row>
    <row r="63" spans="1:14" x14ac:dyDescent="0.2">
      <c r="A63" s="30"/>
      <c r="B63" s="30"/>
      <c r="C63" s="30"/>
      <c r="D63" s="30"/>
      <c r="E63" s="8">
        <v>0.15</v>
      </c>
      <c r="F63" s="9">
        <f>ROUND(C60*E63, 0)</f>
        <v>26550</v>
      </c>
      <c r="G63" s="30"/>
      <c r="H63" s="9">
        <f>F63+G60</f>
        <v>32550</v>
      </c>
      <c r="I63" s="9">
        <f>ROUNDUP(((C60-F63) + ((C60-F63)*D60*12))/12, 0)</f>
        <v>14193</v>
      </c>
      <c r="J63" s="9">
        <f>ROUNDUP(((C60-F63) + ((C60-F63)*D60*18))/18, 0)</f>
        <v>10014</v>
      </c>
      <c r="K63" s="9">
        <f>ROUNDUP(((C60-F63) + ((C60-F63)*D60*24))/24, 0)</f>
        <v>7924</v>
      </c>
      <c r="L63" s="9">
        <f>ROUNDUP(((C60-F63) + ((C60-F63)*D60*30))/30, 0)</f>
        <v>6670</v>
      </c>
      <c r="M63" s="9">
        <f>ROUNDUP(((C60-F63) + ((C60-F63)*D60*36))/36, 0)</f>
        <v>5835</v>
      </c>
      <c r="N63" s="9">
        <f>ROUNDUP(((C60-F63) + ((C60-F63)*D60*48))/48, 0)</f>
        <v>4790</v>
      </c>
    </row>
    <row r="64" spans="1:14" x14ac:dyDescent="0.2">
      <c r="A64" s="36" t="s">
        <v>43</v>
      </c>
      <c r="B64" s="36" t="s">
        <v>44</v>
      </c>
      <c r="C64" s="31">
        <v>203000</v>
      </c>
      <c r="D64" s="32">
        <v>1.0999999999999999E-2</v>
      </c>
      <c r="E64" s="3">
        <v>0</v>
      </c>
      <c r="F64" s="4">
        <v>48500</v>
      </c>
      <c r="G64" s="31">
        <v>6000</v>
      </c>
      <c r="H64" s="5">
        <f>F64+G64</f>
        <v>54500</v>
      </c>
      <c r="I64" s="5">
        <f>ROUNDUP(((C64-F64) + ((C64-F64)*D64*12))/12, 0)</f>
        <v>14575</v>
      </c>
      <c r="J64" s="5">
        <f>ROUNDUP(((C64-F64) + ((C64-F64)*D64*18))/18, 0)</f>
        <v>10283</v>
      </c>
      <c r="K64" s="5">
        <f>ROUNDUP(((C64-F64) + ((C64-F64)*D64*24))/24, 0)</f>
        <v>8137</v>
      </c>
      <c r="L64" s="5">
        <f>ROUNDUP(((C64-F64) + ((C64-F64)*D64*30))/30, 0)</f>
        <v>6850</v>
      </c>
      <c r="M64" s="5">
        <f>ROUNDUP(((C64-F64) + ((C64-F64)*D64*36))/36, 0)</f>
        <v>5992</v>
      </c>
      <c r="N64" s="6">
        <f>ROUNDUP(((C64-F64) + ((C64-F64)*D64*48))/48, 0)</f>
        <v>4919</v>
      </c>
    </row>
    <row r="65" spans="1:14" x14ac:dyDescent="0.2">
      <c r="A65" s="29"/>
      <c r="B65" s="29"/>
      <c r="C65" s="29"/>
      <c r="D65" s="29"/>
      <c r="E65" s="8">
        <v>0.05</v>
      </c>
      <c r="F65" s="9">
        <f>ROUND(C64*E65, 0)</f>
        <v>10150</v>
      </c>
      <c r="G65" s="29"/>
      <c r="H65" s="9">
        <f>F65+G64</f>
        <v>16150</v>
      </c>
      <c r="I65" s="9">
        <f>ROUNDUP(((C64-F65) + ((C64-F65)*D64*12))/12, 0)</f>
        <v>18193</v>
      </c>
      <c r="J65" s="9">
        <f>ROUNDUP(((C64-F65) + ((C64-F65)*D64*18))/18, 0)</f>
        <v>12836</v>
      </c>
      <c r="K65" s="9">
        <f>ROUNDUP(((C64-F65) + ((C64-F65)*D64*24))/24, 0)</f>
        <v>10157</v>
      </c>
      <c r="L65" s="9">
        <f>ROUNDUP(((C64-F65) + ((C64-F65)*D64*30))/30, 0)</f>
        <v>8550</v>
      </c>
      <c r="M65" s="9">
        <f>ROUNDUP(((C64-F65) + ((C64-F65)*D64*36))/36, 0)</f>
        <v>7479</v>
      </c>
      <c r="N65" s="9">
        <f>ROUNDUP(((C64-F65) + ((C64-F65)*D64*48))/48, 0)</f>
        <v>6140</v>
      </c>
    </row>
    <row r="66" spans="1:14" x14ac:dyDescent="0.2">
      <c r="A66" s="29"/>
      <c r="B66" s="29"/>
      <c r="C66" s="29"/>
      <c r="D66" s="29"/>
      <c r="E66" s="8">
        <v>0.1</v>
      </c>
      <c r="F66" s="9">
        <f>ROUND(C64*E66, 0)</f>
        <v>20300</v>
      </c>
      <c r="G66" s="29"/>
      <c r="H66" s="9">
        <f>F66+G64</f>
        <v>26300</v>
      </c>
      <c r="I66" s="9">
        <f>ROUNDUP(((C64-F66) + ((C64-F66)*D64*12))/12, 0)</f>
        <v>17235</v>
      </c>
      <c r="J66" s="9">
        <f>ROUNDUP(((C64-F66) + ((C64-F66)*D64*18))/18, 0)</f>
        <v>12160</v>
      </c>
      <c r="K66" s="9">
        <f>ROUNDUP(((C64-F66) + ((C64-F66)*D64*24))/24, 0)</f>
        <v>9623</v>
      </c>
      <c r="L66" s="9">
        <f>ROUNDUP(((C64-F66) + ((C64-F66)*D64*30))/30, 0)</f>
        <v>8100</v>
      </c>
      <c r="M66" s="9">
        <f>ROUNDUP(((C64-F66) + ((C64-F66)*D64*36))/36, 0)</f>
        <v>7085</v>
      </c>
      <c r="N66" s="9">
        <f>ROUNDUP(((C64-F66) + ((C64-F66)*D64*48))/48, 0)</f>
        <v>5816</v>
      </c>
    </row>
    <row r="67" spans="1:14" x14ac:dyDescent="0.2">
      <c r="A67" s="30"/>
      <c r="B67" s="30"/>
      <c r="C67" s="30"/>
      <c r="D67" s="30"/>
      <c r="E67" s="8">
        <v>0.15</v>
      </c>
      <c r="F67" s="9">
        <f>ROUND(C64*E67, 0)</f>
        <v>30450</v>
      </c>
      <c r="G67" s="30"/>
      <c r="H67" s="9">
        <f>F67+G64</f>
        <v>36450</v>
      </c>
      <c r="I67" s="9">
        <f>ROUNDUP(((C64-F67) + ((C64-F67)*D64*12))/12, 0)</f>
        <v>16278</v>
      </c>
      <c r="J67" s="9">
        <f>ROUNDUP(((C64-F67) + ((C64-F67)*D64*18))/18, 0)</f>
        <v>11485</v>
      </c>
      <c r="K67" s="9">
        <f>ROUNDUP(((C64-F67) + ((C64-F67)*D64*24))/24, 0)</f>
        <v>9088</v>
      </c>
      <c r="L67" s="9">
        <f>ROUNDUP(((C64-F67) + ((C64-F67)*D64*30))/30, 0)</f>
        <v>7650</v>
      </c>
      <c r="M67" s="9">
        <f>ROUNDUP(((C64-F67) + ((C64-F67)*D64*36))/36, 0)</f>
        <v>6692</v>
      </c>
      <c r="N67" s="9">
        <f>ROUNDUP(((C64-F67) + ((C64-F67)*D64*48))/48, 0)</f>
        <v>5493</v>
      </c>
    </row>
    <row r="68" spans="1:14" x14ac:dyDescent="0.2">
      <c r="A68" s="36" t="s">
        <v>45</v>
      </c>
      <c r="B68" s="36" t="s">
        <v>46</v>
      </c>
      <c r="C68" s="31">
        <v>85900</v>
      </c>
      <c r="D68" s="32">
        <v>1.0999999999999999E-2</v>
      </c>
      <c r="E68" s="3">
        <v>0</v>
      </c>
      <c r="F68" s="4">
        <v>5900</v>
      </c>
      <c r="G68" s="31">
        <v>1700</v>
      </c>
      <c r="H68" s="5">
        <f>F68+G68</f>
        <v>7600</v>
      </c>
      <c r="I68" s="5">
        <f>ROUNDUP(((C68-F68) + ((C68-F68)*D68*12))/12, 0)</f>
        <v>7547</v>
      </c>
      <c r="J68" s="5">
        <f>ROUNDUP(((C68-F68) + ((C68-F68)*D68*18))/18, 0)</f>
        <v>5325</v>
      </c>
      <c r="K68" s="5">
        <f>ROUNDUP(((C68-F68) + ((C68-F68)*D68*24))/24, 0)</f>
        <v>4214</v>
      </c>
      <c r="L68" s="5">
        <f>ROUNDUP(((C68-F68) + ((C68-F68)*D68*30))/30, 0)</f>
        <v>3547</v>
      </c>
      <c r="M68" s="5">
        <f>ROUNDUP(((C68-F68) + ((C68-F68)*D68*36))/36, 0)</f>
        <v>3103</v>
      </c>
      <c r="N68" s="6">
        <f>ROUNDUP(((C68-F68) + ((C68-F68)*D68*48))/48, 0)</f>
        <v>2547</v>
      </c>
    </row>
    <row r="69" spans="1:14" x14ac:dyDescent="0.2">
      <c r="A69" s="29"/>
      <c r="B69" s="29"/>
      <c r="C69" s="29"/>
      <c r="D69" s="29"/>
      <c r="E69" s="8">
        <v>0.05</v>
      </c>
      <c r="F69" s="9">
        <f>ROUND(C68*E69, 0)</f>
        <v>4295</v>
      </c>
      <c r="G69" s="29"/>
      <c r="H69" s="9">
        <f>F69+G68</f>
        <v>5995</v>
      </c>
      <c r="I69" s="9">
        <f>ROUNDUP(((C68-F69) + ((C68-F69)*D68*12))/12, 0)</f>
        <v>7699</v>
      </c>
      <c r="J69" s="9">
        <f>ROUNDUP(((C68-F69) + ((C68-F69)*D68*18))/18, 0)</f>
        <v>5432</v>
      </c>
      <c r="K69" s="9">
        <f>ROUNDUP(((C68-F69) + ((C68-F69)*D68*24))/24, 0)</f>
        <v>4298</v>
      </c>
      <c r="L69" s="9">
        <f>ROUNDUP(((C68-F69) + ((C68-F69)*D68*30))/30, 0)</f>
        <v>3618</v>
      </c>
      <c r="M69" s="9">
        <f>ROUNDUP(((C68-F69) + ((C68-F69)*D68*36))/36, 0)</f>
        <v>3165</v>
      </c>
      <c r="N69" s="9">
        <f>ROUNDUP(((C68-F69) + ((C68-F69)*D68*48))/48, 0)</f>
        <v>2598</v>
      </c>
    </row>
    <row r="70" spans="1:14" x14ac:dyDescent="0.2">
      <c r="A70" s="29"/>
      <c r="B70" s="29"/>
      <c r="C70" s="29"/>
      <c r="D70" s="29"/>
      <c r="E70" s="8">
        <v>0.1</v>
      </c>
      <c r="F70" s="9">
        <f>ROUND(C68*E70, 0)</f>
        <v>8590</v>
      </c>
      <c r="G70" s="29"/>
      <c r="H70" s="9">
        <f>F70+G68</f>
        <v>10290</v>
      </c>
      <c r="I70" s="9">
        <f>ROUNDUP(((C68-F70) + ((C68-F70)*D68*12))/12, 0)</f>
        <v>7293</v>
      </c>
      <c r="J70" s="9">
        <f>ROUNDUP(((C68-F70) + ((C68-F70)*D68*18))/18, 0)</f>
        <v>5146</v>
      </c>
      <c r="K70" s="9">
        <f>ROUNDUP(((C68-F70) + ((C68-F70)*D68*24))/24, 0)</f>
        <v>4072</v>
      </c>
      <c r="L70" s="9">
        <f>ROUNDUP(((C68-F70) + ((C68-F70)*D68*30))/30, 0)</f>
        <v>3428</v>
      </c>
      <c r="M70" s="9">
        <f>ROUNDUP(((C68-F70) + ((C68-F70)*D68*36))/36, 0)</f>
        <v>2998</v>
      </c>
      <c r="N70" s="9">
        <f>ROUNDUP(((C68-F70) + ((C68-F70)*D68*48))/48, 0)</f>
        <v>2462</v>
      </c>
    </row>
    <row r="71" spans="1:14" x14ac:dyDescent="0.2">
      <c r="A71" s="30"/>
      <c r="B71" s="30"/>
      <c r="C71" s="30"/>
      <c r="D71" s="30"/>
      <c r="E71" s="8">
        <v>0.15</v>
      </c>
      <c r="F71" s="9">
        <f>ROUND(C68*E71, 0)</f>
        <v>12885</v>
      </c>
      <c r="G71" s="30"/>
      <c r="H71" s="9">
        <f>F71+G68</f>
        <v>14585</v>
      </c>
      <c r="I71" s="9">
        <f>ROUNDUP(((C68-F71) + ((C68-F71)*D68*12))/12, 0)</f>
        <v>6888</v>
      </c>
      <c r="J71" s="9">
        <f>ROUNDUP(((C68-F71) + ((C68-F71)*D68*18))/18, 0)</f>
        <v>4860</v>
      </c>
      <c r="K71" s="9">
        <f>ROUNDUP(((C68-F71) + ((C68-F71)*D68*24))/24, 0)</f>
        <v>3846</v>
      </c>
      <c r="L71" s="9">
        <f>ROUNDUP(((C68-F71) + ((C68-F71)*D68*30))/30, 0)</f>
        <v>3237</v>
      </c>
      <c r="M71" s="9">
        <f>ROUNDUP(((C68-F71) + ((C68-F71)*D68*36))/36, 0)</f>
        <v>2832</v>
      </c>
      <c r="N71" s="9">
        <f>ROUNDUP(((C68-F71) + ((C68-F71)*D68*48))/48, 0)</f>
        <v>2325</v>
      </c>
    </row>
    <row r="72" spans="1:14" x14ac:dyDescent="0.2">
      <c r="A72" s="36" t="s">
        <v>47</v>
      </c>
      <c r="B72" s="36" t="s">
        <v>48</v>
      </c>
      <c r="C72" s="31">
        <v>99000</v>
      </c>
      <c r="D72" s="32">
        <v>1.0999999999999999E-2</v>
      </c>
      <c r="E72" s="3">
        <v>0</v>
      </c>
      <c r="F72" s="4">
        <v>19900</v>
      </c>
      <c r="G72" s="31">
        <v>1700</v>
      </c>
      <c r="H72" s="5">
        <f>F72+G72</f>
        <v>21600</v>
      </c>
      <c r="I72" s="5">
        <f>ROUNDUP(((C72-F72) + ((C72-F72)*D72*12))/12, 0)</f>
        <v>7462</v>
      </c>
      <c r="J72" s="5">
        <f>ROUNDUP(((C72-F72) + ((C72-F72)*D72*18))/18, 0)</f>
        <v>5265</v>
      </c>
      <c r="K72" s="5">
        <f>ROUNDUP(((C72-F72) + ((C72-F72)*D72*24))/24, 0)</f>
        <v>4166</v>
      </c>
      <c r="L72" s="5">
        <f>ROUNDUP(((C72-F72) + ((C72-F72)*D72*30))/30, 0)</f>
        <v>3507</v>
      </c>
      <c r="M72" s="5">
        <f>ROUNDUP(((C72-F72) + ((C72-F72)*D72*36))/36, 0)</f>
        <v>3068</v>
      </c>
      <c r="N72" s="6">
        <f>ROUNDUP(((C72-F72) + ((C72-F72)*D72*48))/48, 0)</f>
        <v>2519</v>
      </c>
    </row>
    <row r="73" spans="1:14" x14ac:dyDescent="0.2">
      <c r="A73" s="29"/>
      <c r="B73" s="29"/>
      <c r="C73" s="29"/>
      <c r="D73" s="29"/>
      <c r="E73" s="8">
        <v>0.05</v>
      </c>
      <c r="F73" s="9">
        <f>ROUND(C72*E73, 0)</f>
        <v>4950</v>
      </c>
      <c r="G73" s="29"/>
      <c r="H73" s="9">
        <f>F73+G72</f>
        <v>6650</v>
      </c>
      <c r="I73" s="9">
        <f>ROUNDUP(((C72-F73) + ((C72-F73)*D72*12))/12, 0)</f>
        <v>8873</v>
      </c>
      <c r="J73" s="9">
        <f>ROUNDUP(((C72-F73) + ((C72-F73)*D72*18))/18, 0)</f>
        <v>6260</v>
      </c>
      <c r="K73" s="9">
        <f>ROUNDUP(((C72-F73) + ((C72-F73)*D72*24))/24, 0)</f>
        <v>4954</v>
      </c>
      <c r="L73" s="9">
        <f>ROUNDUP(((C72-F73) + ((C72-F73)*D72*30))/30, 0)</f>
        <v>4170</v>
      </c>
      <c r="M73" s="9">
        <f>ROUNDUP(((C72-F73) + ((C72-F73)*D72*36))/36, 0)</f>
        <v>3648</v>
      </c>
      <c r="N73" s="9">
        <f>ROUNDUP(((C72-F73) + ((C72-F73)*D72*48))/48, 0)</f>
        <v>2994</v>
      </c>
    </row>
    <row r="74" spans="1:14" x14ac:dyDescent="0.2">
      <c r="A74" s="29"/>
      <c r="B74" s="29"/>
      <c r="C74" s="29"/>
      <c r="D74" s="29"/>
      <c r="E74" s="8">
        <v>0.1</v>
      </c>
      <c r="F74" s="9">
        <f>ROUND(C72*E74, 0)</f>
        <v>9900</v>
      </c>
      <c r="G74" s="29"/>
      <c r="H74" s="9">
        <f>F74+G72</f>
        <v>11600</v>
      </c>
      <c r="I74" s="9">
        <f>ROUNDUP(((C72-F74) + ((C72-F74)*D72*12))/12, 0)</f>
        <v>8406</v>
      </c>
      <c r="J74" s="9">
        <f>ROUNDUP(((C72-F74) + ((C72-F74)*D72*18))/18, 0)</f>
        <v>5931</v>
      </c>
      <c r="K74" s="9">
        <f>ROUNDUP(((C72-F74) + ((C72-F74)*D72*24))/24, 0)</f>
        <v>4693</v>
      </c>
      <c r="L74" s="9">
        <f>ROUNDUP(((C72-F74) + ((C72-F74)*D72*30))/30, 0)</f>
        <v>3951</v>
      </c>
      <c r="M74" s="9">
        <f>ROUNDUP(((C72-F74) + ((C72-F74)*D72*36))/36, 0)</f>
        <v>3456</v>
      </c>
      <c r="N74" s="9">
        <f>ROUNDUP(((C72-F74) + ((C72-F74)*D72*48))/48, 0)</f>
        <v>2837</v>
      </c>
    </row>
    <row r="75" spans="1:14" x14ac:dyDescent="0.2">
      <c r="A75" s="30"/>
      <c r="B75" s="30"/>
      <c r="C75" s="30"/>
      <c r="D75" s="30"/>
      <c r="E75" s="8">
        <v>0.15</v>
      </c>
      <c r="F75" s="9">
        <f>ROUND(C72*E75, 0)</f>
        <v>14850</v>
      </c>
      <c r="G75" s="30"/>
      <c r="H75" s="9">
        <f>F75+G72</f>
        <v>16550</v>
      </c>
      <c r="I75" s="9">
        <f>ROUNDUP(((C72-F75) + ((C72-F75)*D72*12))/12, 0)</f>
        <v>7939</v>
      </c>
      <c r="J75" s="9">
        <f>ROUNDUP(((C72-F75) + ((C72-F75)*D72*18))/18, 0)</f>
        <v>5601</v>
      </c>
      <c r="K75" s="9">
        <f>ROUNDUP(((C72-F75) + ((C72-F75)*D72*24))/24, 0)</f>
        <v>4432</v>
      </c>
      <c r="L75" s="9">
        <f>ROUNDUP(((C72-F75) + ((C72-F75)*D72*30))/30, 0)</f>
        <v>3731</v>
      </c>
      <c r="M75" s="9">
        <f>ROUNDUP(((C72-F75) + ((C72-F75)*D72*36))/36, 0)</f>
        <v>3264</v>
      </c>
      <c r="N75" s="9">
        <f>ROUNDUP(((C72-F75) + ((C72-F75)*D72*48))/48, 0)</f>
        <v>2679</v>
      </c>
    </row>
    <row r="76" spans="1:14" x14ac:dyDescent="0.2">
      <c r="A76" s="36" t="s">
        <v>49</v>
      </c>
      <c r="B76" s="36" t="s">
        <v>16</v>
      </c>
      <c r="C76" s="31">
        <v>53800</v>
      </c>
      <c r="D76" s="32">
        <v>1.4999999999999999E-2</v>
      </c>
      <c r="E76" s="3">
        <v>0</v>
      </c>
      <c r="F76" s="4">
        <v>4900</v>
      </c>
      <c r="G76" s="31">
        <v>1700</v>
      </c>
      <c r="H76" s="5">
        <f>F76+G76</f>
        <v>6600</v>
      </c>
      <c r="I76" s="5">
        <f>ROUNDUP(((C76-F76) + ((C76-F76)*D76*12))/12, 0)</f>
        <v>4809</v>
      </c>
      <c r="J76" s="5">
        <f>ROUNDUP(((C76-F76) + ((C76-F76)*D76*18))/18, 0)</f>
        <v>3451</v>
      </c>
      <c r="K76" s="5">
        <f>ROUNDUP(((C76-F76) + ((C76-F76)*D76*24))/24, 0)</f>
        <v>2771</v>
      </c>
      <c r="L76" s="5">
        <f>ROUNDUP(((C76-F76) + ((C76-F76)*D76*30))/30, 0)</f>
        <v>2364</v>
      </c>
      <c r="M76" s="5">
        <f>ROUNDUP(((C76-F76) + ((C76-F76)*D76*36))/36, 0)</f>
        <v>2092</v>
      </c>
      <c r="N76" s="6">
        <f>ROUNDUP(((C76-F76) + ((C76-F76)*D76*48))/48, 0)</f>
        <v>1753</v>
      </c>
    </row>
    <row r="77" spans="1:14" x14ac:dyDescent="0.2">
      <c r="A77" s="29"/>
      <c r="B77" s="29"/>
      <c r="C77" s="29"/>
      <c r="D77" s="29"/>
      <c r="E77" s="8">
        <v>0.05</v>
      </c>
      <c r="F77" s="9">
        <f>ROUND(C76*E77, 0)</f>
        <v>2690</v>
      </c>
      <c r="G77" s="29"/>
      <c r="H77" s="9">
        <f>F77+G76</f>
        <v>4390</v>
      </c>
      <c r="I77" s="9">
        <f>ROUNDUP(((C76-F77) + ((C76-F77)*D76*12))/12, 0)</f>
        <v>5026</v>
      </c>
      <c r="J77" s="9">
        <f>ROUNDUP(((C76-F77) + ((C76-F77)*D76*18))/18, 0)</f>
        <v>3607</v>
      </c>
      <c r="K77" s="9">
        <f>ROUNDUP(((C76-F77) + ((C76-F77)*D76*24))/24, 0)</f>
        <v>2897</v>
      </c>
      <c r="L77" s="9">
        <f>ROUNDUP(((C76-F77) + ((C76-F77)*D76*30))/30, 0)</f>
        <v>2471</v>
      </c>
      <c r="M77" s="9">
        <f>ROUNDUP(((C76-F77) + ((C76-F77)*D76*36))/36, 0)</f>
        <v>2187</v>
      </c>
      <c r="N77" s="9">
        <f>ROUNDUP(((C76-F77) + ((C76-F77)*D76*48))/48, 0)</f>
        <v>1832</v>
      </c>
    </row>
    <row r="78" spans="1:14" x14ac:dyDescent="0.2">
      <c r="A78" s="29"/>
      <c r="B78" s="29"/>
      <c r="C78" s="29"/>
      <c r="D78" s="29"/>
      <c r="E78" s="8">
        <v>0.1</v>
      </c>
      <c r="F78" s="9">
        <f>ROUND(C76*E78, 0)</f>
        <v>5380</v>
      </c>
      <c r="G78" s="29"/>
      <c r="H78" s="9">
        <f>F78+G76</f>
        <v>7080</v>
      </c>
      <c r="I78" s="9">
        <f>ROUNDUP(((C76-F78) + ((C76-F78)*D76*12))/12, 0)</f>
        <v>4762</v>
      </c>
      <c r="J78" s="9">
        <f>ROUNDUP(((C76-F78) + ((C76-F78)*D76*18))/18, 0)</f>
        <v>3417</v>
      </c>
      <c r="K78" s="9">
        <f>ROUNDUP(((C76-F78) + ((C76-F78)*D76*24))/24, 0)</f>
        <v>2744</v>
      </c>
      <c r="L78" s="9">
        <f>ROUNDUP(((C76-F78) + ((C76-F78)*D76*30))/30, 0)</f>
        <v>2341</v>
      </c>
      <c r="M78" s="9">
        <f>ROUNDUP(((C76-F78) + ((C76-F78)*D76*36))/36, 0)</f>
        <v>2072</v>
      </c>
      <c r="N78" s="9">
        <f>ROUNDUP(((C76-F78) + ((C76-F78)*D76*48))/48, 0)</f>
        <v>1736</v>
      </c>
    </row>
    <row r="79" spans="1:14" x14ac:dyDescent="0.2">
      <c r="A79" s="30"/>
      <c r="B79" s="30"/>
      <c r="C79" s="30"/>
      <c r="D79" s="30"/>
      <c r="E79" s="8">
        <v>0.15</v>
      </c>
      <c r="F79" s="9">
        <f>ROUND(C76*E79, 0)</f>
        <v>8070</v>
      </c>
      <c r="G79" s="30"/>
      <c r="H79" s="9">
        <f>F79+G76</f>
        <v>9770</v>
      </c>
      <c r="I79" s="9">
        <f>ROUNDUP(((C76-F79) + ((C76-F79)*D76*12))/12, 0)</f>
        <v>4497</v>
      </c>
      <c r="J79" s="9">
        <f>ROUNDUP(((C76-F79) + ((C76-F79)*D76*18))/18, 0)</f>
        <v>3227</v>
      </c>
      <c r="K79" s="9">
        <f>ROUNDUP(((C76-F79) + ((C76-F79)*D76*24))/24, 0)</f>
        <v>2592</v>
      </c>
      <c r="L79" s="9">
        <f>ROUNDUP(((C76-F79) + ((C76-F79)*D76*30))/30, 0)</f>
        <v>2211</v>
      </c>
      <c r="M79" s="9">
        <f>ROUNDUP(((C76-F79) + ((C76-F79)*D76*36))/36, 0)</f>
        <v>1957</v>
      </c>
      <c r="N79" s="9">
        <f>ROUNDUP(((C76-F79) + ((C76-F79)*D76*48))/48, 0)</f>
        <v>1639</v>
      </c>
    </row>
    <row r="81" spans="1:14" ht="30" customHeight="1" x14ac:dyDescent="0.2">
      <c r="A81" s="37" t="s">
        <v>50</v>
      </c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</row>
    <row r="82" spans="1:14" x14ac:dyDescent="0.2">
      <c r="A82" s="35" t="s">
        <v>0</v>
      </c>
      <c r="B82" s="35" t="s">
        <v>1</v>
      </c>
      <c r="C82" s="35" t="s">
        <v>2</v>
      </c>
      <c r="D82" s="35" t="s">
        <v>3</v>
      </c>
      <c r="E82" s="35" t="s">
        <v>4</v>
      </c>
      <c r="F82" s="35" t="s">
        <v>5</v>
      </c>
      <c r="G82" s="35" t="s">
        <v>6</v>
      </c>
      <c r="H82" s="35" t="s">
        <v>7</v>
      </c>
      <c r="I82" s="35" t="s">
        <v>8</v>
      </c>
      <c r="J82" s="35"/>
      <c r="K82" s="35"/>
      <c r="L82" s="35"/>
      <c r="M82" s="35"/>
      <c r="N82" s="35"/>
    </row>
    <row r="83" spans="1:14" x14ac:dyDescent="0.2">
      <c r="A83" s="35"/>
      <c r="B83" s="35"/>
      <c r="C83" s="35"/>
      <c r="D83" s="35"/>
      <c r="E83" s="35"/>
      <c r="F83" s="35"/>
      <c r="G83" s="35"/>
      <c r="H83" s="35"/>
      <c r="I83" s="1" t="s">
        <v>9</v>
      </c>
      <c r="J83" s="1" t="s">
        <v>10</v>
      </c>
      <c r="K83" s="1" t="s">
        <v>11</v>
      </c>
      <c r="L83" s="1" t="s">
        <v>12</v>
      </c>
      <c r="M83" s="1" t="s">
        <v>13</v>
      </c>
      <c r="N83" s="1" t="s">
        <v>14</v>
      </c>
    </row>
    <row r="84" spans="1:14" x14ac:dyDescent="0.2">
      <c r="A84" s="36" t="s">
        <v>51</v>
      </c>
      <c r="B84" s="36" t="s">
        <v>52</v>
      </c>
      <c r="C84" s="31">
        <v>52000</v>
      </c>
      <c r="D84" s="32">
        <v>1.4E-2</v>
      </c>
      <c r="E84" s="3">
        <v>0</v>
      </c>
      <c r="F84" s="4">
        <v>900</v>
      </c>
      <c r="G84" s="31">
        <v>1000</v>
      </c>
      <c r="H84" s="5">
        <f>F84+G84</f>
        <v>1900</v>
      </c>
      <c r="I84" s="5">
        <f>ROUNDUP(((C84-F84) + ((C84-F84)*D84*12))/12, 0)</f>
        <v>4974</v>
      </c>
      <c r="J84" s="5">
        <f>ROUNDUP(((C84-F84) + ((C84-F84)*D84*18))/18, 0)</f>
        <v>3555</v>
      </c>
      <c r="K84" s="5">
        <f>ROUNDUP(((C84-F84) + ((C84-F84)*D84*24))/24, 0)</f>
        <v>2845</v>
      </c>
      <c r="L84" s="5">
        <f>ROUNDUP(((C84-F84) + ((C84-F84)*D84*30))/30, 0)</f>
        <v>2419</v>
      </c>
      <c r="M84" s="5">
        <f>ROUNDUP(((C84-F84) + ((C84-F84)*D84*36))/36, 0)</f>
        <v>2135</v>
      </c>
      <c r="N84" s="6">
        <f>ROUNDUP(((C84-F84) + ((C84-F84)*D84*48))/48, 0)</f>
        <v>1780</v>
      </c>
    </row>
    <row r="85" spans="1:14" x14ac:dyDescent="0.2">
      <c r="A85" s="29"/>
      <c r="B85" s="29"/>
      <c r="C85" s="29"/>
      <c r="D85" s="29"/>
      <c r="E85" s="8">
        <v>0.05</v>
      </c>
      <c r="F85" s="9">
        <f>ROUND(C84*E85, 0)</f>
        <v>2600</v>
      </c>
      <c r="G85" s="29"/>
      <c r="H85" s="9">
        <f>F85+G84</f>
        <v>3600</v>
      </c>
      <c r="I85" s="9">
        <f>ROUNDUP(((C84-F85) + ((C84-F85)*D84*12))/12, 0)</f>
        <v>4809</v>
      </c>
      <c r="J85" s="9">
        <f>ROUNDUP(((C84-F85) + ((C84-F85)*D84*18))/18, 0)</f>
        <v>3437</v>
      </c>
      <c r="K85" s="9">
        <f>ROUNDUP(((C84-F85) + ((C84-F85)*D84*24))/24, 0)</f>
        <v>2750</v>
      </c>
      <c r="L85" s="9">
        <f>ROUNDUP(((C84-F85) + ((C84-F85)*D84*30))/30, 0)</f>
        <v>2339</v>
      </c>
      <c r="M85" s="9">
        <f>ROUNDUP(((C84-F85) + ((C84-F85)*D84*36))/36, 0)</f>
        <v>2064</v>
      </c>
      <c r="N85" s="9">
        <f>ROUNDUP(((C84-F85) + ((C84-F85)*D84*48))/48, 0)</f>
        <v>1721</v>
      </c>
    </row>
    <row r="86" spans="1:14" x14ac:dyDescent="0.2">
      <c r="A86" s="29"/>
      <c r="B86" s="29"/>
      <c r="C86" s="29"/>
      <c r="D86" s="29"/>
      <c r="E86" s="8">
        <v>0.1</v>
      </c>
      <c r="F86" s="9">
        <f>ROUND(C84*E86, 0)</f>
        <v>5200</v>
      </c>
      <c r="G86" s="29"/>
      <c r="H86" s="9">
        <f>F86+G84</f>
        <v>6200</v>
      </c>
      <c r="I86" s="9">
        <f>ROUNDUP(((C84-F86) + ((C84-F86)*D84*12))/12, 0)</f>
        <v>4556</v>
      </c>
      <c r="J86" s="9">
        <f>ROUNDUP(((C84-F86) + ((C84-F86)*D84*18))/18, 0)</f>
        <v>3256</v>
      </c>
      <c r="K86" s="9">
        <f>ROUNDUP(((C84-F86) + ((C84-F86)*D84*24))/24, 0)</f>
        <v>2606</v>
      </c>
      <c r="L86" s="9">
        <f>ROUNDUP(((C84-F86) + ((C84-F86)*D84*30))/30, 0)</f>
        <v>2216</v>
      </c>
      <c r="M86" s="9">
        <f>ROUNDUP(((C84-F86) + ((C84-F86)*D84*36))/36, 0)</f>
        <v>1956</v>
      </c>
      <c r="N86" s="9">
        <f>ROUNDUP(((C84-F86) + ((C84-F86)*D84*48))/48, 0)</f>
        <v>1631</v>
      </c>
    </row>
    <row r="87" spans="1:14" x14ac:dyDescent="0.2">
      <c r="A87" s="30"/>
      <c r="B87" s="30"/>
      <c r="C87" s="30"/>
      <c r="D87" s="30"/>
      <c r="E87" s="8">
        <v>0.15</v>
      </c>
      <c r="F87" s="9">
        <f>ROUND(C84*E87, 0)</f>
        <v>7800</v>
      </c>
      <c r="G87" s="30"/>
      <c r="H87" s="9">
        <f>F87+G84</f>
        <v>8800</v>
      </c>
      <c r="I87" s="9">
        <f>ROUNDUP(((C84-F87) + ((C84-F87)*D84*12))/12, 0)</f>
        <v>4303</v>
      </c>
      <c r="J87" s="9">
        <f>ROUNDUP(((C84-F87) + ((C84-F87)*D84*18))/18, 0)</f>
        <v>3075</v>
      </c>
      <c r="K87" s="9">
        <f>ROUNDUP(((C84-F87) + ((C84-F87)*D84*24))/24, 0)</f>
        <v>2461</v>
      </c>
      <c r="L87" s="9">
        <f>ROUNDUP(((C84-F87) + ((C84-F87)*D84*30))/30, 0)</f>
        <v>2093</v>
      </c>
      <c r="M87" s="9">
        <f>ROUNDUP(((C84-F87) + ((C84-F87)*D84*36))/36, 0)</f>
        <v>1847</v>
      </c>
      <c r="N87" s="9">
        <f>ROUNDUP(((C84-F87) + ((C84-F87)*D84*48))/48, 0)</f>
        <v>1540</v>
      </c>
    </row>
    <row r="88" spans="1:14" x14ac:dyDescent="0.2">
      <c r="A88" s="36" t="s">
        <v>53</v>
      </c>
      <c r="B88" s="36" t="s">
        <v>54</v>
      </c>
      <c r="C88" s="31">
        <v>54000</v>
      </c>
      <c r="D88" s="32">
        <v>1.49E-2</v>
      </c>
      <c r="E88" s="3">
        <v>0</v>
      </c>
      <c r="F88" s="4">
        <v>2900</v>
      </c>
      <c r="G88" s="31">
        <v>1000</v>
      </c>
      <c r="H88" s="5">
        <f>F88+G88</f>
        <v>3900</v>
      </c>
      <c r="I88" s="5">
        <f>ROUNDUP(((C88-F88) + ((C88-F88)*D88*12))/12, 0)</f>
        <v>5020</v>
      </c>
      <c r="J88" s="5">
        <f>ROUNDUP(((C88-F88) + ((C88-F88)*D88*18))/18, 0)</f>
        <v>3601</v>
      </c>
      <c r="K88" s="5">
        <f>ROUNDUP(((C88-F88) + ((C88-F88)*D88*24))/24, 0)</f>
        <v>2891</v>
      </c>
      <c r="L88" s="5">
        <f>ROUNDUP(((C88-F88) + ((C88-F88)*D88*30))/30, 0)</f>
        <v>2465</v>
      </c>
      <c r="M88" s="5">
        <f>ROUNDUP(((C88-F88) + ((C88-F88)*D88*36))/36, 0)</f>
        <v>2181</v>
      </c>
      <c r="N88" s="6">
        <f>ROUNDUP(((C88-F88) + ((C88-F88)*D88*48))/48, 0)</f>
        <v>1826</v>
      </c>
    </row>
    <row r="89" spans="1:14" x14ac:dyDescent="0.2">
      <c r="A89" s="29"/>
      <c r="B89" s="29"/>
      <c r="C89" s="29"/>
      <c r="D89" s="29"/>
      <c r="E89" s="8">
        <v>0.05</v>
      </c>
      <c r="F89" s="9">
        <f>ROUND(C88*E89, 0)</f>
        <v>2700</v>
      </c>
      <c r="G89" s="29"/>
      <c r="H89" s="9">
        <f>F89+G88</f>
        <v>3700</v>
      </c>
      <c r="I89" s="9">
        <f>ROUNDUP(((C88-F89) + ((C88-F89)*D88*12))/12, 0)</f>
        <v>5040</v>
      </c>
      <c r="J89" s="9">
        <f>ROUNDUP(((C88-F89) + ((C88-F89)*D88*18))/18, 0)</f>
        <v>3615</v>
      </c>
      <c r="K89" s="9">
        <f>ROUNDUP(((C88-F89) + ((C88-F89)*D88*24))/24, 0)</f>
        <v>2902</v>
      </c>
      <c r="L89" s="9">
        <f>ROUNDUP(((C88-F89) + ((C88-F89)*D88*30))/30, 0)</f>
        <v>2475</v>
      </c>
      <c r="M89" s="9">
        <f>ROUNDUP(((C88-F89) + ((C88-F89)*D88*36))/36, 0)</f>
        <v>2190</v>
      </c>
      <c r="N89" s="9">
        <f>ROUNDUP(((C88-F89) + ((C88-F89)*D88*48))/48, 0)</f>
        <v>1834</v>
      </c>
    </row>
    <row r="90" spans="1:14" x14ac:dyDescent="0.2">
      <c r="A90" s="29"/>
      <c r="B90" s="29"/>
      <c r="C90" s="29"/>
      <c r="D90" s="29"/>
      <c r="E90" s="8">
        <v>0.1</v>
      </c>
      <c r="F90" s="9">
        <f>ROUND(C88*E90, 0)</f>
        <v>5400</v>
      </c>
      <c r="G90" s="29"/>
      <c r="H90" s="9">
        <f>F90+G88</f>
        <v>6400</v>
      </c>
      <c r="I90" s="9">
        <f>ROUNDUP(((C88-F90) + ((C88-F90)*D88*12))/12, 0)</f>
        <v>4775</v>
      </c>
      <c r="J90" s="9">
        <f>ROUNDUP(((C88-F90) + ((C88-F90)*D88*18))/18, 0)</f>
        <v>3425</v>
      </c>
      <c r="K90" s="9">
        <f>ROUNDUP(((C88-F90) + ((C88-F90)*D88*24))/24, 0)</f>
        <v>2750</v>
      </c>
      <c r="L90" s="9">
        <f>ROUNDUP(((C88-F90) + ((C88-F90)*D88*30))/30, 0)</f>
        <v>2345</v>
      </c>
      <c r="M90" s="9">
        <f>ROUNDUP(((C88-F90) + ((C88-F90)*D88*36))/36, 0)</f>
        <v>2075</v>
      </c>
      <c r="N90" s="9">
        <f>ROUNDUP(((C88-F90) + ((C88-F90)*D88*48))/48, 0)</f>
        <v>1737</v>
      </c>
    </row>
    <row r="91" spans="1:14" x14ac:dyDescent="0.2">
      <c r="A91" s="30"/>
      <c r="B91" s="30"/>
      <c r="C91" s="30"/>
      <c r="D91" s="30"/>
      <c r="E91" s="8">
        <v>0.15</v>
      </c>
      <c r="F91" s="9">
        <f>ROUND(C88*E91, 0)</f>
        <v>8100</v>
      </c>
      <c r="G91" s="30"/>
      <c r="H91" s="9">
        <f>F91+G88</f>
        <v>9100</v>
      </c>
      <c r="I91" s="9">
        <f>ROUNDUP(((C88-F91) + ((C88-F91)*D88*12))/12, 0)</f>
        <v>4509</v>
      </c>
      <c r="J91" s="9">
        <f>ROUNDUP(((C88-F91) + ((C88-F91)*D88*18))/18, 0)</f>
        <v>3234</v>
      </c>
      <c r="K91" s="9">
        <f>ROUNDUP(((C88-F91) + ((C88-F91)*D88*24))/24, 0)</f>
        <v>2597</v>
      </c>
      <c r="L91" s="9">
        <f>ROUNDUP(((C88-F91) + ((C88-F91)*D88*30))/30, 0)</f>
        <v>2214</v>
      </c>
      <c r="M91" s="9">
        <f>ROUNDUP(((C88-F91) + ((C88-F91)*D88*36))/36, 0)</f>
        <v>1959</v>
      </c>
      <c r="N91" s="9">
        <f>ROUNDUP(((C88-F91) + ((C88-F91)*D88*48))/48, 0)</f>
        <v>1641</v>
      </c>
    </row>
    <row r="92" spans="1:14" x14ac:dyDescent="0.2">
      <c r="A92" s="36" t="s">
        <v>55</v>
      </c>
      <c r="B92" s="36" t="s">
        <v>56</v>
      </c>
      <c r="C92" s="31">
        <v>52300</v>
      </c>
      <c r="D92" s="32">
        <v>1.4500000000000001E-2</v>
      </c>
      <c r="E92" s="3">
        <v>0</v>
      </c>
      <c r="F92" s="4">
        <v>1900</v>
      </c>
      <c r="G92" s="31">
        <v>1000</v>
      </c>
      <c r="H92" s="5">
        <f>F92+G92</f>
        <v>2900</v>
      </c>
      <c r="I92" s="5">
        <f>ROUNDUP(((C92-F92) + ((C92-F92)*D92*12))/12, 0)</f>
        <v>4931</v>
      </c>
      <c r="J92" s="5">
        <f>ROUNDUP(((C92-F92) + ((C92-F92)*D92*18))/18, 0)</f>
        <v>3531</v>
      </c>
      <c r="K92" s="5">
        <f>ROUNDUP(((C92-F92) + ((C92-F92)*D92*24))/24, 0)</f>
        <v>2831</v>
      </c>
      <c r="L92" s="5">
        <f>ROUNDUP(((C92-F92) + ((C92-F92)*D92*30))/30, 0)</f>
        <v>2411</v>
      </c>
      <c r="M92" s="5">
        <f>ROUNDUP(((C92-F92) + ((C92-F92)*D92*36))/36, 0)</f>
        <v>2131</v>
      </c>
      <c r="N92" s="6">
        <f>ROUNDUP(((C92-F92) + ((C92-F92)*D92*48))/48, 0)</f>
        <v>1781</v>
      </c>
    </row>
    <row r="93" spans="1:14" x14ac:dyDescent="0.2">
      <c r="A93" s="29"/>
      <c r="B93" s="29"/>
      <c r="C93" s="29"/>
      <c r="D93" s="29"/>
      <c r="E93" s="8">
        <v>0.05</v>
      </c>
      <c r="F93" s="9">
        <f>ROUND(C92*E93, 0)</f>
        <v>2615</v>
      </c>
      <c r="G93" s="29"/>
      <c r="H93" s="9">
        <f>F93+G92</f>
        <v>3615</v>
      </c>
      <c r="I93" s="9">
        <f>ROUNDUP(((C92-F93) + ((C92-F93)*D92*12))/12, 0)</f>
        <v>4861</v>
      </c>
      <c r="J93" s="9">
        <f>ROUNDUP(((C92-F93) + ((C92-F93)*D92*18))/18, 0)</f>
        <v>3481</v>
      </c>
      <c r="K93" s="9">
        <f>ROUNDUP(((C92-F93) + ((C92-F93)*D92*24))/24, 0)</f>
        <v>2791</v>
      </c>
      <c r="L93" s="9">
        <f>ROUNDUP(((C92-F93) + ((C92-F93)*D92*30))/30, 0)</f>
        <v>2377</v>
      </c>
      <c r="M93" s="9">
        <f>ROUNDUP(((C92-F93) + ((C92-F93)*D92*36))/36, 0)</f>
        <v>2101</v>
      </c>
      <c r="N93" s="9">
        <f>ROUNDUP(((C92-F93) + ((C92-F93)*D92*48))/48, 0)</f>
        <v>1756</v>
      </c>
    </row>
    <row r="94" spans="1:14" x14ac:dyDescent="0.2">
      <c r="A94" s="29"/>
      <c r="B94" s="29"/>
      <c r="C94" s="29"/>
      <c r="D94" s="29"/>
      <c r="E94" s="8">
        <v>0.1</v>
      </c>
      <c r="F94" s="9">
        <f>ROUND(C92*E94, 0)</f>
        <v>5230</v>
      </c>
      <c r="G94" s="29"/>
      <c r="H94" s="9">
        <f>F94+G92</f>
        <v>6230</v>
      </c>
      <c r="I94" s="9">
        <f>ROUNDUP(((C92-F94) + ((C92-F94)*D92*12))/12, 0)</f>
        <v>4606</v>
      </c>
      <c r="J94" s="9">
        <f>ROUNDUP(((C92-F94) + ((C92-F94)*D92*18))/18, 0)</f>
        <v>3298</v>
      </c>
      <c r="K94" s="9">
        <f>ROUNDUP(((C92-F94) + ((C92-F94)*D92*24))/24, 0)</f>
        <v>2644</v>
      </c>
      <c r="L94" s="9">
        <f>ROUNDUP(((C92-F94) + ((C92-F94)*D92*30))/30, 0)</f>
        <v>2252</v>
      </c>
      <c r="M94" s="9">
        <f>ROUNDUP(((C92-F94) + ((C92-F94)*D92*36))/36, 0)</f>
        <v>1991</v>
      </c>
      <c r="N94" s="9">
        <f>ROUNDUP(((C92-F94) + ((C92-F94)*D92*48))/48, 0)</f>
        <v>1664</v>
      </c>
    </row>
    <row r="95" spans="1:14" x14ac:dyDescent="0.2">
      <c r="A95" s="30"/>
      <c r="B95" s="30"/>
      <c r="C95" s="30"/>
      <c r="D95" s="30"/>
      <c r="E95" s="8">
        <v>0.15</v>
      </c>
      <c r="F95" s="9">
        <f>ROUND(C92*E95, 0)</f>
        <v>7845</v>
      </c>
      <c r="G95" s="30"/>
      <c r="H95" s="9">
        <f>F95+G92</f>
        <v>8845</v>
      </c>
      <c r="I95" s="9">
        <f>ROUNDUP(((C92-F95) + ((C92-F95)*D92*12))/12, 0)</f>
        <v>4350</v>
      </c>
      <c r="J95" s="9">
        <f>ROUNDUP(((C92-F95) + ((C92-F95)*D92*18))/18, 0)</f>
        <v>3115</v>
      </c>
      <c r="K95" s="9">
        <f>ROUNDUP(((C92-F95) + ((C92-F95)*D92*24))/24, 0)</f>
        <v>2497</v>
      </c>
      <c r="L95" s="9">
        <f>ROUNDUP(((C92-F95) + ((C92-F95)*D92*30))/30, 0)</f>
        <v>2127</v>
      </c>
      <c r="M95" s="9">
        <f>ROUNDUP(((C92-F95) + ((C92-F95)*D92*36))/36, 0)</f>
        <v>1880</v>
      </c>
      <c r="N95" s="9">
        <f>ROUNDUP(((C92-F95) + ((C92-F95)*D92*48))/48, 0)</f>
        <v>1571</v>
      </c>
    </row>
    <row r="96" spans="1:14" x14ac:dyDescent="0.2">
      <c r="A96" s="36" t="s">
        <v>57</v>
      </c>
      <c r="B96" s="36" t="s">
        <v>58</v>
      </c>
      <c r="C96" s="31">
        <v>50300</v>
      </c>
      <c r="D96" s="32">
        <v>1.3899999999999999E-2</v>
      </c>
      <c r="E96" s="3">
        <v>0</v>
      </c>
      <c r="F96" s="4">
        <v>1900</v>
      </c>
      <c r="G96" s="31">
        <v>1000</v>
      </c>
      <c r="H96" s="5">
        <f>F96+G96</f>
        <v>2900</v>
      </c>
      <c r="I96" s="5">
        <f>ROUNDUP(((C96-F96) + ((C96-F96)*D96*12))/12, 0)</f>
        <v>4707</v>
      </c>
      <c r="J96" s="5">
        <f>ROUNDUP(((C96-F96) + ((C96-F96)*D96*18))/18, 0)</f>
        <v>3362</v>
      </c>
      <c r="K96" s="5">
        <f>ROUNDUP(((C96-F96) + ((C96-F96)*D96*24))/24, 0)</f>
        <v>2690</v>
      </c>
      <c r="L96" s="5">
        <f>ROUNDUP(((C96-F96) + ((C96-F96)*D96*30))/30, 0)</f>
        <v>2287</v>
      </c>
      <c r="M96" s="5">
        <f>ROUNDUP(((C96-F96) + ((C96-F96)*D96*36))/36, 0)</f>
        <v>2018</v>
      </c>
      <c r="N96" s="6">
        <f>ROUNDUP(((C96-F96) + ((C96-F96)*D96*48))/48, 0)</f>
        <v>1682</v>
      </c>
    </row>
    <row r="97" spans="1:14" x14ac:dyDescent="0.2">
      <c r="A97" s="29"/>
      <c r="B97" s="29"/>
      <c r="C97" s="29"/>
      <c r="D97" s="29"/>
      <c r="E97" s="8">
        <v>0.05</v>
      </c>
      <c r="F97" s="9">
        <f>ROUND(C96*E97, 0)</f>
        <v>2515</v>
      </c>
      <c r="G97" s="29"/>
      <c r="H97" s="9">
        <f>F97+G96</f>
        <v>3515</v>
      </c>
      <c r="I97" s="9">
        <f>ROUNDUP(((C96-F97) + ((C96-F97)*D96*12))/12, 0)</f>
        <v>4647</v>
      </c>
      <c r="J97" s="9">
        <f>ROUNDUP(((C96-F97) + ((C96-F97)*D96*18))/18, 0)</f>
        <v>3319</v>
      </c>
      <c r="K97" s="9">
        <f>ROUNDUP(((C96-F97) + ((C96-F97)*D96*24))/24, 0)</f>
        <v>2656</v>
      </c>
      <c r="L97" s="9">
        <f>ROUNDUP(((C96-F97) + ((C96-F97)*D96*30))/30, 0)</f>
        <v>2258</v>
      </c>
      <c r="M97" s="9">
        <f>ROUNDUP(((C96-F97) + ((C96-F97)*D96*36))/36, 0)</f>
        <v>1992</v>
      </c>
      <c r="N97" s="9">
        <f>ROUNDUP(((C96-F97) + ((C96-F97)*D96*48))/48, 0)</f>
        <v>1660</v>
      </c>
    </row>
    <row r="98" spans="1:14" x14ac:dyDescent="0.2">
      <c r="A98" s="29"/>
      <c r="B98" s="29"/>
      <c r="C98" s="29"/>
      <c r="D98" s="29"/>
      <c r="E98" s="8">
        <v>0.1</v>
      </c>
      <c r="F98" s="9">
        <f>ROUND(C96*E98, 0)</f>
        <v>5030</v>
      </c>
      <c r="G98" s="29"/>
      <c r="H98" s="9">
        <f>F98+G96</f>
        <v>6030</v>
      </c>
      <c r="I98" s="9">
        <f>ROUNDUP(((C96-F98) + ((C96-F98)*D96*12))/12, 0)</f>
        <v>4402</v>
      </c>
      <c r="J98" s="9">
        <f>ROUNDUP(((C96-F98) + ((C96-F98)*D96*18))/18, 0)</f>
        <v>3145</v>
      </c>
      <c r="K98" s="9">
        <f>ROUNDUP(((C96-F98) + ((C96-F98)*D96*24))/24, 0)</f>
        <v>2516</v>
      </c>
      <c r="L98" s="9">
        <f>ROUNDUP(((C96-F98) + ((C96-F98)*D96*30))/30, 0)</f>
        <v>2139</v>
      </c>
      <c r="M98" s="9">
        <f>ROUNDUP(((C96-F98) + ((C96-F98)*D96*36))/36, 0)</f>
        <v>1887</v>
      </c>
      <c r="N98" s="9">
        <f>ROUNDUP(((C96-F98) + ((C96-F98)*D96*48))/48, 0)</f>
        <v>1573</v>
      </c>
    </row>
    <row r="99" spans="1:14" x14ac:dyDescent="0.2">
      <c r="A99" s="30"/>
      <c r="B99" s="30"/>
      <c r="C99" s="30"/>
      <c r="D99" s="30"/>
      <c r="E99" s="8">
        <v>0.15</v>
      </c>
      <c r="F99" s="9">
        <f>ROUND(C96*E99, 0)</f>
        <v>7545</v>
      </c>
      <c r="G99" s="30"/>
      <c r="H99" s="9">
        <f>F99+G96</f>
        <v>8545</v>
      </c>
      <c r="I99" s="9">
        <f>ROUNDUP(((C96-F99) + ((C96-F99)*D96*12))/12, 0)</f>
        <v>4158</v>
      </c>
      <c r="J99" s="9">
        <f>ROUNDUP(((C96-F99) + ((C96-F99)*D96*18))/18, 0)</f>
        <v>2970</v>
      </c>
      <c r="K99" s="9">
        <f>ROUNDUP(((C96-F99) + ((C96-F99)*D96*24))/24, 0)</f>
        <v>2376</v>
      </c>
      <c r="L99" s="9">
        <f>ROUNDUP(((C96-F99) + ((C96-F99)*D96*30))/30, 0)</f>
        <v>2020</v>
      </c>
      <c r="M99" s="9">
        <f>ROUNDUP(((C96-F99) + ((C96-F99)*D96*36))/36, 0)</f>
        <v>1782</v>
      </c>
      <c r="N99" s="9">
        <f>ROUNDUP(((C96-F99) + ((C96-F99)*D96*48))/48, 0)</f>
        <v>1486</v>
      </c>
    </row>
    <row r="100" spans="1:14" x14ac:dyDescent="0.2">
      <c r="A100" s="36" t="s">
        <v>59</v>
      </c>
      <c r="B100" s="36" t="s">
        <v>60</v>
      </c>
      <c r="C100" s="31">
        <v>80500</v>
      </c>
      <c r="D100" s="32">
        <v>1.4999999999999999E-2</v>
      </c>
      <c r="E100" s="3">
        <v>0</v>
      </c>
      <c r="F100" s="4">
        <v>7900</v>
      </c>
      <c r="G100" s="31">
        <v>1700</v>
      </c>
      <c r="H100" s="5">
        <f>F100+G100</f>
        <v>9600</v>
      </c>
      <c r="I100" s="5">
        <f>ROUNDUP(((C100-F100) + ((C100-F100)*D100*12))/12, 0)</f>
        <v>7139</v>
      </c>
      <c r="J100" s="5">
        <f>ROUNDUP(((C100-F100) + ((C100-F100)*D100*18))/18, 0)</f>
        <v>5123</v>
      </c>
      <c r="K100" s="5">
        <f>ROUNDUP(((C100-F100) + ((C100-F100)*D100*24))/24, 0)</f>
        <v>4114</v>
      </c>
      <c r="L100" s="5">
        <f>ROUNDUP(((C100-F100) + ((C100-F100)*D100*30))/30, 0)</f>
        <v>3509</v>
      </c>
      <c r="M100" s="5">
        <f>ROUNDUP(((C100-F100) + ((C100-F100)*D100*36))/36, 0)</f>
        <v>3106</v>
      </c>
      <c r="N100" s="6">
        <f>ROUNDUP(((C100-F100) + ((C100-F100)*D100*48))/48, 0)</f>
        <v>2602</v>
      </c>
    </row>
    <row r="101" spans="1:14" x14ac:dyDescent="0.2">
      <c r="A101" s="29"/>
      <c r="B101" s="29"/>
      <c r="C101" s="29"/>
      <c r="D101" s="29"/>
      <c r="E101" s="8">
        <v>0.05</v>
      </c>
      <c r="F101" s="9">
        <f>ROUND(C100*E101, 0)</f>
        <v>4025</v>
      </c>
      <c r="G101" s="29"/>
      <c r="H101" s="9">
        <f>F101+G100</f>
        <v>5725</v>
      </c>
      <c r="I101" s="9">
        <f>ROUNDUP(((C100-F101) + ((C100-F101)*D100*12))/12, 0)</f>
        <v>7521</v>
      </c>
      <c r="J101" s="9">
        <f>ROUNDUP(((C100-F101) + ((C100-F101)*D100*18))/18, 0)</f>
        <v>5396</v>
      </c>
      <c r="K101" s="9">
        <f>ROUNDUP(((C100-F101) + ((C100-F101)*D100*24))/24, 0)</f>
        <v>4334</v>
      </c>
      <c r="L101" s="9">
        <f>ROUNDUP(((C100-F101) + ((C100-F101)*D100*30))/30, 0)</f>
        <v>3697</v>
      </c>
      <c r="M101" s="9">
        <f>ROUNDUP(((C100-F101) + ((C100-F101)*D100*36))/36, 0)</f>
        <v>3272</v>
      </c>
      <c r="N101" s="9">
        <f>ROUNDUP(((C100-F101) + ((C100-F101)*D100*48))/48, 0)</f>
        <v>2741</v>
      </c>
    </row>
    <row r="102" spans="1:14" x14ac:dyDescent="0.2">
      <c r="A102" s="29"/>
      <c r="B102" s="29"/>
      <c r="C102" s="29"/>
      <c r="D102" s="29"/>
      <c r="E102" s="8">
        <v>0.1</v>
      </c>
      <c r="F102" s="9">
        <f>ROUND(C100*E102, 0)</f>
        <v>8050</v>
      </c>
      <c r="G102" s="29"/>
      <c r="H102" s="9">
        <f>F102+G100</f>
        <v>9750</v>
      </c>
      <c r="I102" s="9">
        <f>ROUNDUP(((C100-F102) + ((C100-F102)*D100*12))/12, 0)</f>
        <v>7125</v>
      </c>
      <c r="J102" s="9">
        <f>ROUNDUP(((C100-F102) + ((C100-F102)*D100*18))/18, 0)</f>
        <v>5112</v>
      </c>
      <c r="K102" s="9">
        <f>ROUNDUP(((C100-F102) + ((C100-F102)*D100*24))/24, 0)</f>
        <v>4106</v>
      </c>
      <c r="L102" s="9">
        <f>ROUNDUP(((C100-F102) + ((C100-F102)*D100*30))/30, 0)</f>
        <v>3502</v>
      </c>
      <c r="M102" s="9">
        <f>ROUNDUP(((C100-F102) + ((C100-F102)*D100*36))/36, 0)</f>
        <v>3100</v>
      </c>
      <c r="N102" s="9">
        <f>ROUNDUP(((C100-F102) + ((C100-F102)*D100*48))/48, 0)</f>
        <v>2597</v>
      </c>
    </row>
    <row r="103" spans="1:14" x14ac:dyDescent="0.2">
      <c r="A103" s="30"/>
      <c r="B103" s="30"/>
      <c r="C103" s="30"/>
      <c r="D103" s="30"/>
      <c r="E103" s="8">
        <v>0.15</v>
      </c>
      <c r="F103" s="9">
        <f>ROUND(C100*E103, 0)</f>
        <v>12075</v>
      </c>
      <c r="G103" s="30"/>
      <c r="H103" s="9">
        <f>F103+G100</f>
        <v>13775</v>
      </c>
      <c r="I103" s="9">
        <f>ROUNDUP(((C100-F103) + ((C100-F103)*D100*12))/12, 0)</f>
        <v>6729</v>
      </c>
      <c r="J103" s="9">
        <f>ROUNDUP(((C100-F103) + ((C100-F103)*D100*18))/18, 0)</f>
        <v>4828</v>
      </c>
      <c r="K103" s="9">
        <f>ROUNDUP(((C100-F103) + ((C100-F103)*D100*24))/24, 0)</f>
        <v>3878</v>
      </c>
      <c r="L103" s="9">
        <f>ROUNDUP(((C100-F103) + ((C100-F103)*D100*30))/30, 0)</f>
        <v>3308</v>
      </c>
      <c r="M103" s="9">
        <f>ROUNDUP(((C100-F103) + ((C100-F103)*D100*36))/36, 0)</f>
        <v>2928</v>
      </c>
      <c r="N103" s="9">
        <f>ROUNDUP(((C100-F103) + ((C100-F103)*D100*48))/48, 0)</f>
        <v>2452</v>
      </c>
    </row>
    <row r="105" spans="1:14" ht="30" customHeight="1" x14ac:dyDescent="0.2">
      <c r="A105" s="33" t="s">
        <v>62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</row>
    <row r="106" spans="1:14" x14ac:dyDescent="0.2">
      <c r="A106" s="35" t="s">
        <v>0</v>
      </c>
      <c r="B106" s="35" t="s">
        <v>1</v>
      </c>
      <c r="C106" s="35" t="s">
        <v>2</v>
      </c>
      <c r="D106" s="35" t="s">
        <v>3</v>
      </c>
      <c r="E106" s="35" t="s">
        <v>4</v>
      </c>
      <c r="F106" s="35" t="s">
        <v>5</v>
      </c>
      <c r="G106" s="35" t="s">
        <v>6</v>
      </c>
      <c r="H106" s="35" t="s">
        <v>7</v>
      </c>
      <c r="I106" s="35" t="s">
        <v>8</v>
      </c>
      <c r="J106" s="35"/>
      <c r="K106" s="35"/>
      <c r="L106" s="35"/>
      <c r="M106" s="35"/>
      <c r="N106" s="35"/>
    </row>
    <row r="107" spans="1:14" x14ac:dyDescent="0.2">
      <c r="A107" s="35"/>
      <c r="B107" s="35"/>
      <c r="C107" s="35"/>
      <c r="D107" s="35"/>
      <c r="E107" s="35"/>
      <c r="F107" s="35"/>
      <c r="G107" s="35"/>
      <c r="H107" s="35"/>
      <c r="I107" s="1" t="s">
        <v>9</v>
      </c>
      <c r="J107" s="1" t="s">
        <v>10</v>
      </c>
      <c r="K107" s="1" t="s">
        <v>11</v>
      </c>
      <c r="L107" s="1" t="s">
        <v>12</v>
      </c>
      <c r="M107" s="1" t="s">
        <v>13</v>
      </c>
      <c r="N107" s="1" t="s">
        <v>14</v>
      </c>
    </row>
    <row r="108" spans="1:14" x14ac:dyDescent="0.2">
      <c r="A108" s="36" t="s">
        <v>63</v>
      </c>
      <c r="B108" s="36" t="s">
        <v>64</v>
      </c>
      <c r="C108" s="31">
        <v>107500</v>
      </c>
      <c r="D108" s="32">
        <v>9.0000000000000011E-3</v>
      </c>
      <c r="E108" s="3">
        <v>0</v>
      </c>
      <c r="F108" s="4">
        <v>7500</v>
      </c>
      <c r="G108" s="31">
        <v>2000</v>
      </c>
      <c r="H108" s="5">
        <f>F108+G108</f>
        <v>9500</v>
      </c>
      <c r="I108" s="5">
        <f>ROUNDUP(((C108-F108) + ((C108-F108)*D108*12))/12, 0)</f>
        <v>9234</v>
      </c>
      <c r="J108" s="5">
        <f>ROUNDUP(((C108-F108) + ((C108-F108)*D108*18))/18, 0)</f>
        <v>6456</v>
      </c>
      <c r="K108" s="5">
        <f>ROUNDUP(((C108-F108) + ((C108-F108)*D108*24))/24, 0)</f>
        <v>5067</v>
      </c>
      <c r="L108" s="5">
        <f>ROUNDUP(((C108-F108) + ((C108-F108)*D108*30))/30, 0)</f>
        <v>4234</v>
      </c>
      <c r="M108" s="5">
        <f>ROUNDUP(((C108-F108) + ((C108-F108)*D108*36))/36, 0)</f>
        <v>3678</v>
      </c>
      <c r="N108" s="6">
        <f>ROUNDUP(((C108-F108) + ((C108-F108)*D108*48))/48, 0)</f>
        <v>2984</v>
      </c>
    </row>
    <row r="109" spans="1:14" x14ac:dyDescent="0.2">
      <c r="A109" s="29"/>
      <c r="B109" s="29"/>
      <c r="C109" s="29"/>
      <c r="D109" s="29"/>
      <c r="E109" s="8">
        <v>0.05</v>
      </c>
      <c r="F109" s="9">
        <f>ROUND(C108*E109, 0)</f>
        <v>5375</v>
      </c>
      <c r="G109" s="29"/>
      <c r="H109" s="9">
        <f>F109+G108</f>
        <v>7375</v>
      </c>
      <c r="I109" s="9">
        <f>ROUNDUP(((C108-F109) + ((C108-F109)*D108*12))/12, 0)</f>
        <v>9430</v>
      </c>
      <c r="J109" s="9">
        <f>ROUNDUP(((C108-F109) + ((C108-F109)*D108*18))/18, 0)</f>
        <v>6593</v>
      </c>
      <c r="K109" s="9">
        <f>ROUNDUP(((C108-F109) + ((C108-F109)*D108*24))/24, 0)</f>
        <v>5175</v>
      </c>
      <c r="L109" s="9">
        <f>ROUNDUP(((C108-F109) + ((C108-F109)*D108*30))/30, 0)</f>
        <v>4324</v>
      </c>
      <c r="M109" s="9">
        <f>ROUNDUP(((C108-F109) + ((C108-F109)*D108*36))/36, 0)</f>
        <v>3756</v>
      </c>
      <c r="N109" s="9">
        <f>ROUNDUP(((C108-F109) + ((C108-F109)*D108*48))/48, 0)</f>
        <v>3047</v>
      </c>
    </row>
    <row r="110" spans="1:14" x14ac:dyDescent="0.2">
      <c r="A110" s="29"/>
      <c r="B110" s="29"/>
      <c r="C110" s="29"/>
      <c r="D110" s="29"/>
      <c r="E110" s="8">
        <v>0.1</v>
      </c>
      <c r="F110" s="9">
        <f>ROUND(C108*E110, 0)</f>
        <v>10750</v>
      </c>
      <c r="G110" s="29"/>
      <c r="H110" s="9">
        <f>F110+G108</f>
        <v>12750</v>
      </c>
      <c r="I110" s="9">
        <f>ROUNDUP(((C108-F110) + ((C108-F110)*D108*12))/12, 0)</f>
        <v>8934</v>
      </c>
      <c r="J110" s="9">
        <f>ROUNDUP(((C108-F110) + ((C108-F110)*D108*18))/18, 0)</f>
        <v>6246</v>
      </c>
      <c r="K110" s="9">
        <f>ROUNDUP(((C108-F110) + ((C108-F110)*D108*24))/24, 0)</f>
        <v>4902</v>
      </c>
      <c r="L110" s="9">
        <f>ROUNDUP(((C108-F110) + ((C108-F110)*D108*30))/30, 0)</f>
        <v>4096</v>
      </c>
      <c r="M110" s="9">
        <f>ROUNDUP(((C108-F110) + ((C108-F110)*D108*36))/36, 0)</f>
        <v>3559</v>
      </c>
      <c r="N110" s="9">
        <f>ROUNDUP(((C108-F110) + ((C108-F110)*D108*48))/48, 0)</f>
        <v>2887</v>
      </c>
    </row>
    <row r="111" spans="1:14" x14ac:dyDescent="0.2">
      <c r="A111" s="30"/>
      <c r="B111" s="30"/>
      <c r="C111" s="30"/>
      <c r="D111" s="30"/>
      <c r="E111" s="8">
        <v>0.15</v>
      </c>
      <c r="F111" s="9">
        <f>ROUND(C108*E111, 0)</f>
        <v>16125</v>
      </c>
      <c r="G111" s="30"/>
      <c r="H111" s="9">
        <f>F111+G108</f>
        <v>18125</v>
      </c>
      <c r="I111" s="9">
        <f>ROUNDUP(((C108-F111) + ((C108-F111)*D108*12))/12, 0)</f>
        <v>8437</v>
      </c>
      <c r="J111" s="9">
        <f>ROUNDUP(((C108-F111) + ((C108-F111)*D108*18))/18, 0)</f>
        <v>5899</v>
      </c>
      <c r="K111" s="9">
        <f>ROUNDUP(((C108-F111) + ((C108-F111)*D108*24))/24, 0)</f>
        <v>4630</v>
      </c>
      <c r="L111" s="9">
        <f>ROUNDUP(((C108-F111) + ((C108-F111)*D108*30))/30, 0)</f>
        <v>3869</v>
      </c>
      <c r="M111" s="9">
        <f>ROUNDUP(((C108-F111) + ((C108-F111)*D108*36))/36, 0)</f>
        <v>3361</v>
      </c>
      <c r="N111" s="9">
        <f>ROUNDUP(((C108-F111) + ((C108-F111)*D108*48))/48, 0)</f>
        <v>2727</v>
      </c>
    </row>
    <row r="112" spans="1:14" x14ac:dyDescent="0.2">
      <c r="A112" s="36" t="s">
        <v>65</v>
      </c>
      <c r="B112" s="36" t="s">
        <v>66</v>
      </c>
      <c r="C112" s="31">
        <v>59900</v>
      </c>
      <c r="D112" s="32">
        <v>1.35E-2</v>
      </c>
      <c r="E112" s="3">
        <v>0</v>
      </c>
      <c r="F112" s="4">
        <v>1900</v>
      </c>
      <c r="G112" s="31">
        <v>1000</v>
      </c>
      <c r="H112" s="5">
        <f>F112+G112</f>
        <v>2900</v>
      </c>
      <c r="I112" s="5">
        <f>ROUNDUP(((C112-F112) + ((C112-F112)*D112*12))/12, 0)</f>
        <v>5617</v>
      </c>
      <c r="J112" s="5">
        <f>ROUNDUP(((C112-F112) + ((C112-F112)*D112*18))/18, 0)</f>
        <v>4006</v>
      </c>
      <c r="K112" s="5">
        <f>ROUNDUP(((C112-F112) + ((C112-F112)*D112*24))/24, 0)</f>
        <v>3200</v>
      </c>
      <c r="L112" s="5">
        <f>ROUNDUP(((C112-F112) + ((C112-F112)*D112*30))/30, 0)</f>
        <v>2717</v>
      </c>
      <c r="M112" s="5">
        <f>ROUNDUP(((C112-F112) + ((C112-F112)*D112*36))/36, 0)</f>
        <v>2395</v>
      </c>
      <c r="N112" s="6">
        <f>ROUNDUP(((C112-F112) + ((C112-F112)*D112*48))/48, 0)</f>
        <v>1992</v>
      </c>
    </row>
    <row r="113" spans="1:15" x14ac:dyDescent="0.2">
      <c r="A113" s="29"/>
      <c r="B113" s="29"/>
      <c r="C113" s="29"/>
      <c r="D113" s="29"/>
      <c r="E113" s="8">
        <v>0.05</v>
      </c>
      <c r="F113" s="9">
        <f>ROUND(C112*E113, 0)</f>
        <v>2995</v>
      </c>
      <c r="G113" s="29"/>
      <c r="H113" s="9">
        <f>F113+G112</f>
        <v>3995</v>
      </c>
      <c r="I113" s="9">
        <f>ROUNDUP(((C112-F113) + ((C112-F113)*D112*12))/12, 0)</f>
        <v>5511</v>
      </c>
      <c r="J113" s="9">
        <f>ROUNDUP(((C112-F113) + ((C112-F113)*D112*18))/18, 0)</f>
        <v>3930</v>
      </c>
      <c r="K113" s="9">
        <f>ROUNDUP(((C112-F113) + ((C112-F113)*D112*24))/24, 0)</f>
        <v>3140</v>
      </c>
      <c r="L113" s="9">
        <f>ROUNDUP(((C112-F113) + ((C112-F113)*D112*30))/30, 0)</f>
        <v>2666</v>
      </c>
      <c r="M113" s="9">
        <f>ROUNDUP(((C112-F113) + ((C112-F113)*D112*36))/36, 0)</f>
        <v>2349</v>
      </c>
      <c r="N113" s="9">
        <f>ROUNDUP(((C112-F113) + ((C112-F113)*D112*48))/48, 0)</f>
        <v>1954</v>
      </c>
    </row>
    <row r="114" spans="1:15" x14ac:dyDescent="0.2">
      <c r="A114" s="29"/>
      <c r="B114" s="29"/>
      <c r="C114" s="29"/>
      <c r="D114" s="29"/>
      <c r="E114" s="8">
        <v>0.1</v>
      </c>
      <c r="F114" s="9">
        <f>ROUND(C112*E114, 0)</f>
        <v>5990</v>
      </c>
      <c r="G114" s="29"/>
      <c r="H114" s="9">
        <f>F114+G112</f>
        <v>6990</v>
      </c>
      <c r="I114" s="9">
        <f>ROUNDUP(((C112-F114) + ((C112-F114)*D112*12))/12, 0)</f>
        <v>5221</v>
      </c>
      <c r="J114" s="9">
        <f>ROUNDUP(((C112-F114) + ((C112-F114)*D112*18))/18, 0)</f>
        <v>3723</v>
      </c>
      <c r="K114" s="9">
        <f>ROUNDUP(((C112-F114) + ((C112-F114)*D112*24))/24, 0)</f>
        <v>2975</v>
      </c>
      <c r="L114" s="9">
        <f>ROUNDUP(((C112-F114) + ((C112-F114)*D112*30))/30, 0)</f>
        <v>2525</v>
      </c>
      <c r="M114" s="9">
        <f>ROUNDUP(((C112-F114) + ((C112-F114)*D112*36))/36, 0)</f>
        <v>2226</v>
      </c>
      <c r="N114" s="9">
        <f>ROUNDUP(((C112-F114) + ((C112-F114)*D112*48))/48, 0)</f>
        <v>1851</v>
      </c>
    </row>
    <row r="115" spans="1:15" x14ac:dyDescent="0.2">
      <c r="A115" s="30"/>
      <c r="B115" s="30"/>
      <c r="C115" s="30"/>
      <c r="D115" s="30"/>
      <c r="E115" s="8">
        <v>0.15</v>
      </c>
      <c r="F115" s="9">
        <f>ROUND(C112*E115, 0)</f>
        <v>8985</v>
      </c>
      <c r="G115" s="30"/>
      <c r="H115" s="9">
        <f>F115+G112</f>
        <v>9985</v>
      </c>
      <c r="I115" s="9">
        <f>ROUNDUP(((C112-F115) + ((C112-F115)*D112*12))/12, 0)</f>
        <v>4931</v>
      </c>
      <c r="J115" s="9">
        <f>ROUNDUP(((C112-F115) + ((C112-F115)*D112*18))/18, 0)</f>
        <v>3516</v>
      </c>
      <c r="K115" s="9">
        <f>ROUNDUP(((C112-F115) + ((C112-F115)*D112*24))/24, 0)</f>
        <v>2809</v>
      </c>
      <c r="L115" s="9">
        <f>ROUNDUP(((C112-F115) + ((C112-F115)*D112*30))/30, 0)</f>
        <v>2385</v>
      </c>
      <c r="M115" s="9">
        <f>ROUNDUP(((C112-F115) + ((C112-F115)*D112*36))/36, 0)</f>
        <v>2102</v>
      </c>
      <c r="N115" s="9">
        <f>ROUNDUP(((C112-F115) + ((C112-F115)*D112*48))/48, 0)</f>
        <v>1749</v>
      </c>
    </row>
    <row r="116" spans="1:15" x14ac:dyDescent="0.2">
      <c r="A116" s="36" t="s">
        <v>67</v>
      </c>
      <c r="B116" s="36" t="s">
        <v>68</v>
      </c>
      <c r="C116" s="31">
        <v>68900</v>
      </c>
      <c r="D116" s="32">
        <v>1.35E-2</v>
      </c>
      <c r="E116" s="3">
        <v>0</v>
      </c>
      <c r="F116" s="4">
        <v>6900</v>
      </c>
      <c r="G116" s="31">
        <v>1000</v>
      </c>
      <c r="H116" s="5">
        <f>F116+G116</f>
        <v>7900</v>
      </c>
      <c r="I116" s="5">
        <f>ROUNDUP(((C116-F116) + ((C116-F116)*D116*12))/12, 0)</f>
        <v>6004</v>
      </c>
      <c r="J116" s="5">
        <f>ROUNDUP(((C116-F116) + ((C116-F116)*D116*18))/18, 0)</f>
        <v>4282</v>
      </c>
      <c r="K116" s="5">
        <f>ROUNDUP(((C116-F116) + ((C116-F116)*D116*24))/24, 0)</f>
        <v>3421</v>
      </c>
      <c r="L116" s="5">
        <f>ROUNDUP(((C116-F116) + ((C116-F116)*D116*30))/30, 0)</f>
        <v>2904</v>
      </c>
      <c r="M116" s="5">
        <f>ROUNDUP(((C116-F116) + ((C116-F116)*D116*36))/36, 0)</f>
        <v>2560</v>
      </c>
      <c r="N116" s="6">
        <f>ROUNDUP(((C116-F116) + ((C116-F116)*D116*48))/48, 0)</f>
        <v>2129</v>
      </c>
    </row>
    <row r="117" spans="1:15" x14ac:dyDescent="0.2">
      <c r="A117" s="29"/>
      <c r="B117" s="29"/>
      <c r="C117" s="29"/>
      <c r="D117" s="29"/>
      <c r="E117" s="8">
        <v>0.05</v>
      </c>
      <c r="F117" s="9">
        <f>ROUND(C116*E117, 0)</f>
        <v>3445</v>
      </c>
      <c r="G117" s="29"/>
      <c r="H117" s="9">
        <f>F117+G116</f>
        <v>4445</v>
      </c>
      <c r="I117" s="9">
        <f>ROUNDUP(((C116-F117) + ((C116-F117)*D116*12))/12, 0)</f>
        <v>6339</v>
      </c>
      <c r="J117" s="9">
        <f>ROUNDUP(((C116-F117) + ((C116-F117)*D116*18))/18, 0)</f>
        <v>4521</v>
      </c>
      <c r="K117" s="9">
        <f>ROUNDUP(((C116-F117) + ((C116-F117)*D116*24))/24, 0)</f>
        <v>3611</v>
      </c>
      <c r="L117" s="9">
        <f>ROUNDUP(((C116-F117) + ((C116-F117)*D116*30))/30, 0)</f>
        <v>3066</v>
      </c>
      <c r="M117" s="9">
        <f>ROUNDUP(((C116-F117) + ((C116-F117)*D116*36))/36, 0)</f>
        <v>2702</v>
      </c>
      <c r="N117" s="9">
        <f>ROUNDUP(((C116-F117) + ((C116-F117)*D116*48))/48, 0)</f>
        <v>2248</v>
      </c>
    </row>
    <row r="118" spans="1:15" x14ac:dyDescent="0.2">
      <c r="A118" s="29"/>
      <c r="B118" s="29"/>
      <c r="C118" s="29"/>
      <c r="D118" s="29"/>
      <c r="E118" s="8">
        <v>0.1</v>
      </c>
      <c r="F118" s="9">
        <f>ROUND(C116*E118, 0)</f>
        <v>6890</v>
      </c>
      <c r="G118" s="29"/>
      <c r="H118" s="9">
        <f>F118+G116</f>
        <v>7890</v>
      </c>
      <c r="I118" s="9">
        <f>ROUNDUP(((C116-F118) + ((C116-F118)*D116*12))/12, 0)</f>
        <v>6005</v>
      </c>
      <c r="J118" s="9">
        <f>ROUNDUP(((C116-F118) + ((C116-F118)*D116*18))/18, 0)</f>
        <v>4283</v>
      </c>
      <c r="K118" s="9">
        <f>ROUNDUP(((C116-F118) + ((C116-F118)*D116*24))/24, 0)</f>
        <v>3421</v>
      </c>
      <c r="L118" s="9">
        <f>ROUNDUP(((C116-F118) + ((C116-F118)*D116*30))/30, 0)</f>
        <v>2905</v>
      </c>
      <c r="M118" s="9">
        <f>ROUNDUP(((C116-F118) + ((C116-F118)*D116*36))/36, 0)</f>
        <v>2560</v>
      </c>
      <c r="N118" s="9">
        <f>ROUNDUP(((C116-F118) + ((C116-F118)*D116*48))/48, 0)</f>
        <v>2130</v>
      </c>
    </row>
    <row r="119" spans="1:15" x14ac:dyDescent="0.2">
      <c r="A119" s="30"/>
      <c r="B119" s="30"/>
      <c r="C119" s="30"/>
      <c r="D119" s="30"/>
      <c r="E119" s="8">
        <v>0.15</v>
      </c>
      <c r="F119" s="9">
        <f>ROUND(C116*E119, 0)</f>
        <v>10335</v>
      </c>
      <c r="G119" s="30"/>
      <c r="H119" s="9">
        <f>F119+G116</f>
        <v>11335</v>
      </c>
      <c r="I119" s="9">
        <f>ROUNDUP(((C116-F119) + ((C116-F119)*D116*12))/12, 0)</f>
        <v>5672</v>
      </c>
      <c r="J119" s="9">
        <f>ROUNDUP(((C116-F119) + ((C116-F119)*D116*18))/18, 0)</f>
        <v>4045</v>
      </c>
      <c r="K119" s="9">
        <f>ROUNDUP(((C116-F119) + ((C116-F119)*D116*24))/24, 0)</f>
        <v>3231</v>
      </c>
      <c r="L119" s="9">
        <f>ROUNDUP(((C116-F119) + ((C116-F119)*D116*30))/30, 0)</f>
        <v>2743</v>
      </c>
      <c r="M119" s="9">
        <f>ROUNDUP(((C116-F119) + ((C116-F119)*D116*36))/36, 0)</f>
        <v>2418</v>
      </c>
      <c r="N119" s="9">
        <f>ROUNDUP(((C116-F119) + ((C116-F119)*D116*48))/48, 0)</f>
        <v>2011</v>
      </c>
    </row>
    <row r="120" spans="1:15" x14ac:dyDescent="0.2">
      <c r="A120" s="36" t="s">
        <v>69</v>
      </c>
      <c r="B120" s="36" t="s">
        <v>70</v>
      </c>
      <c r="C120" s="31">
        <v>123500</v>
      </c>
      <c r="D120" s="32">
        <v>9.0000000000000011E-3</v>
      </c>
      <c r="E120" s="3">
        <v>0</v>
      </c>
      <c r="F120" s="4">
        <v>52500</v>
      </c>
      <c r="G120" s="31">
        <v>2000</v>
      </c>
      <c r="H120" s="5">
        <f>F120+G120</f>
        <v>54500</v>
      </c>
      <c r="I120" s="5">
        <f>ROUNDUP(((C120-F120) + ((C120-F120)*D120*12))/12, 0)</f>
        <v>6556</v>
      </c>
      <c r="J120" s="5">
        <f>ROUNDUP(((C120-F120) + ((C120-F120)*D120*18))/18, 0)</f>
        <v>4584</v>
      </c>
      <c r="K120" s="5">
        <f>ROUNDUP(((C120-F120) + ((C120-F120)*D120*24))/24, 0)</f>
        <v>3598</v>
      </c>
      <c r="L120" s="5">
        <f>ROUNDUP(((C120-F120) + ((C120-F120)*D120*30))/30, 0)</f>
        <v>3006</v>
      </c>
      <c r="M120" s="5">
        <f>ROUNDUP(((C120-F120) + ((C120-F120)*D120*36))/36, 0)</f>
        <v>2612</v>
      </c>
      <c r="N120" s="6">
        <f>ROUNDUP(((C120-F120) + ((C120-F120)*D120*48))/48, 0)</f>
        <v>2119</v>
      </c>
    </row>
    <row r="121" spans="1:15" x14ac:dyDescent="0.2">
      <c r="A121" s="29"/>
      <c r="B121" s="29"/>
      <c r="C121" s="29"/>
      <c r="D121" s="29"/>
      <c r="E121" s="8">
        <v>0.05</v>
      </c>
      <c r="F121" s="9">
        <f>ROUND(C120*E121, 0)</f>
        <v>6175</v>
      </c>
      <c r="G121" s="29"/>
      <c r="H121" s="9">
        <f>F121+G120</f>
        <v>8175</v>
      </c>
      <c r="I121" s="9">
        <f>ROUNDUP(((C120-F121) + ((C120-F121)*D120*12))/12, 0)</f>
        <v>10834</v>
      </c>
      <c r="J121" s="9">
        <f>ROUNDUP(((C120-F121) + ((C120-F121)*D120*18))/18, 0)</f>
        <v>7574</v>
      </c>
      <c r="K121" s="9">
        <f>ROUNDUP(((C120-F121) + ((C120-F121)*D120*24))/24, 0)</f>
        <v>5945</v>
      </c>
      <c r="L121" s="9">
        <f>ROUNDUP(((C120-F121) + ((C120-F121)*D120*30))/30, 0)</f>
        <v>4967</v>
      </c>
      <c r="M121" s="9">
        <f>ROUNDUP(((C120-F121) + ((C120-F121)*D120*36))/36, 0)</f>
        <v>4315</v>
      </c>
      <c r="N121" s="9">
        <f>ROUNDUP(((C120-F121) + ((C120-F121)*D120*48))/48, 0)</f>
        <v>3501</v>
      </c>
    </row>
    <row r="122" spans="1:15" x14ac:dyDescent="0.2">
      <c r="A122" s="29"/>
      <c r="B122" s="29"/>
      <c r="C122" s="29"/>
      <c r="D122" s="29"/>
      <c r="E122" s="8">
        <v>0.1</v>
      </c>
      <c r="F122" s="9">
        <f>ROUND(C120*E122, 0)</f>
        <v>12350</v>
      </c>
      <c r="G122" s="29"/>
      <c r="H122" s="9">
        <f>F122+G120</f>
        <v>14350</v>
      </c>
      <c r="I122" s="9">
        <f>ROUNDUP(((C120-F122) + ((C120-F122)*D120*12))/12, 0)</f>
        <v>10263</v>
      </c>
      <c r="J122" s="9">
        <f>ROUNDUP(((C120-F122) + ((C120-F122)*D120*18))/18, 0)</f>
        <v>7176</v>
      </c>
      <c r="K122" s="9">
        <f>ROUNDUP(((C120-F122) + ((C120-F122)*D120*24))/24, 0)</f>
        <v>5632</v>
      </c>
      <c r="L122" s="9">
        <f>ROUNDUP(((C120-F122) + ((C120-F122)*D120*30))/30, 0)</f>
        <v>4706</v>
      </c>
      <c r="M122" s="9">
        <f>ROUNDUP(((C120-F122) + ((C120-F122)*D120*36))/36, 0)</f>
        <v>4088</v>
      </c>
      <c r="N122" s="9">
        <f>ROUNDUP(((C120-F122) + ((C120-F122)*D120*48))/48, 0)</f>
        <v>3316</v>
      </c>
    </row>
    <row r="123" spans="1:15" x14ac:dyDescent="0.2">
      <c r="A123" s="30"/>
      <c r="B123" s="30"/>
      <c r="C123" s="30"/>
      <c r="D123" s="30"/>
      <c r="E123" s="8">
        <v>0.15</v>
      </c>
      <c r="F123" s="9">
        <f>ROUND(C120*E123, 0)</f>
        <v>18525</v>
      </c>
      <c r="G123" s="30"/>
      <c r="H123" s="9">
        <f>F123+G120</f>
        <v>20525</v>
      </c>
      <c r="I123" s="9">
        <f>ROUNDUP(((C120-F123) + ((C120-F123)*D120*12))/12, 0)</f>
        <v>9693</v>
      </c>
      <c r="J123" s="9">
        <f>ROUNDUP(((C120-F123) + ((C120-F123)*D120*18))/18, 0)</f>
        <v>6777</v>
      </c>
      <c r="K123" s="9">
        <f>ROUNDUP(((C120-F123) + ((C120-F123)*D120*24))/24, 0)</f>
        <v>5319</v>
      </c>
      <c r="L123" s="9">
        <f>ROUNDUP(((C120-F123) + ((C120-F123)*D120*30))/30, 0)</f>
        <v>4444</v>
      </c>
      <c r="M123" s="9">
        <f>ROUNDUP(((C120-F123) + ((C120-F123)*D120*36))/36, 0)</f>
        <v>3861</v>
      </c>
      <c r="N123" s="9">
        <f>ROUNDUP(((C120-F123) + ((C120-F123)*D120*48))/48, 0)</f>
        <v>3132</v>
      </c>
    </row>
    <row r="125" spans="1:15" ht="30" customHeight="1" x14ac:dyDescent="0.2">
      <c r="A125" s="33" t="s">
        <v>71</v>
      </c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</row>
    <row r="126" spans="1:15" x14ac:dyDescent="0.2">
      <c r="A126" s="35" t="s">
        <v>0</v>
      </c>
      <c r="B126" s="35" t="s">
        <v>72</v>
      </c>
      <c r="C126" s="35" t="s">
        <v>2</v>
      </c>
      <c r="D126" s="35" t="s">
        <v>3</v>
      </c>
      <c r="E126" s="35" t="s">
        <v>4</v>
      </c>
      <c r="F126" s="35" t="s">
        <v>73</v>
      </c>
      <c r="G126" s="35" t="s">
        <v>6</v>
      </c>
      <c r="H126" s="35" t="s">
        <v>7</v>
      </c>
      <c r="I126" s="35" t="s">
        <v>8</v>
      </c>
      <c r="J126" s="35"/>
      <c r="K126" s="35"/>
      <c r="L126" s="35"/>
      <c r="M126" s="1"/>
    </row>
    <row r="127" spans="1:15" x14ac:dyDescent="0.2">
      <c r="A127" s="35"/>
      <c r="B127" s="35"/>
      <c r="C127" s="35"/>
      <c r="D127" s="35"/>
      <c r="E127" s="35"/>
      <c r="F127" s="35"/>
      <c r="G127" s="35"/>
      <c r="H127" s="35"/>
      <c r="I127" s="1" t="s">
        <v>74</v>
      </c>
      <c r="J127" s="1" t="s">
        <v>111</v>
      </c>
      <c r="K127" s="1" t="s">
        <v>75</v>
      </c>
      <c r="L127" s="1" t="s">
        <v>112</v>
      </c>
      <c r="M127" s="1" t="s">
        <v>76</v>
      </c>
      <c r="N127" s="1" t="s">
        <v>77</v>
      </c>
      <c r="O127" s="1"/>
    </row>
    <row r="128" spans="1:15" x14ac:dyDescent="0.2">
      <c r="A128" s="28" t="s">
        <v>113</v>
      </c>
      <c r="B128" s="28" t="s">
        <v>78</v>
      </c>
      <c r="C128" s="31">
        <v>63500</v>
      </c>
      <c r="D128" s="32">
        <v>1.7000000000000001E-2</v>
      </c>
      <c r="E128" s="2"/>
      <c r="F128" s="4">
        <v>6900</v>
      </c>
      <c r="G128" s="31">
        <v>2000</v>
      </c>
      <c r="H128" s="11">
        <f>F128+G128</f>
        <v>8900</v>
      </c>
      <c r="I128" s="11">
        <f>ROUNDUP(((C128-F128) + ((C128-F128)*D128*12))/12, 0)</f>
        <v>5679</v>
      </c>
      <c r="J128" s="11"/>
      <c r="K128" s="11">
        <f>ROUNDUP(((C128-F128) + ((C128-F128)*D128*24))/24, 0)</f>
        <v>3321</v>
      </c>
      <c r="L128" s="11"/>
      <c r="M128" s="11">
        <f>ROUNDUP(((C128-F128) + ((C128-F128)*D128*36))/36, 0)</f>
        <v>2535</v>
      </c>
      <c r="N128" s="11">
        <f>ROUNDUP(((C128-F128) + ((C128-F128)*D128*48))/48, 0)</f>
        <v>2142</v>
      </c>
      <c r="O128" s="28"/>
    </row>
    <row r="129" spans="1:15" x14ac:dyDescent="0.2">
      <c r="A129" s="29"/>
      <c r="B129" s="29"/>
      <c r="C129" s="29"/>
      <c r="D129" s="29"/>
      <c r="E129" s="7"/>
      <c r="F129" s="4">
        <v>7900</v>
      </c>
      <c r="G129" s="29"/>
      <c r="H129" s="11">
        <f>F129+G128</f>
        <v>9900</v>
      </c>
      <c r="I129" s="11">
        <f>ROUNDUP(((C128-F129) + ((C128-F129)*D128*12))/12, 0)</f>
        <v>5579</v>
      </c>
      <c r="J129" s="11"/>
      <c r="K129" s="11">
        <f>ROUNDUP(((C128-F129) + ((C128-F129)*D128*24))/24, 0)</f>
        <v>3262</v>
      </c>
      <c r="L129" s="11"/>
      <c r="M129" s="11">
        <f>ROUNDUP(((C128-F129) + ((C128-F129)*D128*36))/36, 0)</f>
        <v>2490</v>
      </c>
      <c r="N129" s="11">
        <f>ROUNDUP(((C128-F129) + ((C128-F129)*D128*48))/48, 0)</f>
        <v>2104</v>
      </c>
      <c r="O129" s="29"/>
    </row>
    <row r="130" spans="1:15" x14ac:dyDescent="0.2">
      <c r="A130" s="29"/>
      <c r="B130" s="29"/>
      <c r="C130" s="29"/>
      <c r="D130" s="29"/>
      <c r="E130" s="7"/>
      <c r="F130" s="4">
        <v>8900</v>
      </c>
      <c r="G130" s="29"/>
      <c r="H130" s="11">
        <f>F130+G128</f>
        <v>10900</v>
      </c>
      <c r="I130" s="11">
        <f>ROUNDUP(((C128-F130) + ((C128-F130)*D128*12))/12, 0)</f>
        <v>5479</v>
      </c>
      <c r="J130" s="11"/>
      <c r="K130" s="11">
        <f>ROUNDUP(((C128-F130) + ((C128-F130)*D128*24))/24, 0)</f>
        <v>3204</v>
      </c>
      <c r="L130" s="11"/>
      <c r="M130" s="11">
        <f>ROUNDUP(((C128-F130) + ((C128-F130)*D128*36))/36, 0)</f>
        <v>2445</v>
      </c>
      <c r="N130" s="11">
        <f>ROUNDUP(((C128-F130) + ((C128-F130)*D128*48))/48, 0)</f>
        <v>2066</v>
      </c>
      <c r="O130" s="29"/>
    </row>
    <row r="131" spans="1:15" x14ac:dyDescent="0.2">
      <c r="A131" s="30"/>
      <c r="B131" s="30"/>
      <c r="C131" s="30"/>
      <c r="D131" s="30"/>
      <c r="E131" s="10"/>
      <c r="F131" s="4">
        <v>9900</v>
      </c>
      <c r="G131" s="30"/>
      <c r="H131" s="11">
        <f>F131+G128</f>
        <v>11900</v>
      </c>
      <c r="I131" s="11">
        <f>ROUNDUP(((C128-F131) + ((C128-F131)*D128*12))/12, 0)</f>
        <v>5378</v>
      </c>
      <c r="J131" s="11"/>
      <c r="K131" s="11">
        <f>ROUNDUP(((C128-F131) + ((C128-F131)*D128*24))/24, 0)</f>
        <v>3145</v>
      </c>
      <c r="L131" s="11"/>
      <c r="M131" s="11">
        <f>ROUNDUP(((C128-F131) + ((C128-F131)*D128*36))/36, 0)</f>
        <v>2401</v>
      </c>
      <c r="N131" s="11">
        <f>ROUNDUP(((C128-F131) + ((C128-F131)*D128*48))/48, 0)</f>
        <v>2028</v>
      </c>
      <c r="O131" s="30"/>
    </row>
    <row r="132" spans="1:15" x14ac:dyDescent="0.2">
      <c r="A132" s="28" t="s">
        <v>114</v>
      </c>
      <c r="B132" s="28" t="s">
        <v>79</v>
      </c>
      <c r="C132" s="31">
        <v>54000</v>
      </c>
      <c r="D132" s="32">
        <v>1.7000000000000001E-2</v>
      </c>
      <c r="E132" s="2"/>
      <c r="F132" s="4">
        <v>3900</v>
      </c>
      <c r="G132" s="31">
        <v>2000</v>
      </c>
      <c r="H132" s="9">
        <f>F132+G132</f>
        <v>5900</v>
      </c>
      <c r="I132" s="9">
        <f>ROUNDUP(((C132-F132) + ((C132-F132)*D132*12))/12, 0)</f>
        <v>5027</v>
      </c>
      <c r="J132" s="9"/>
      <c r="K132" s="9">
        <f>ROUNDUP(((C132-F132) + ((C132-F132)*D132*24))/24, 0)</f>
        <v>2940</v>
      </c>
      <c r="L132" s="9"/>
      <c r="M132" s="9">
        <f>ROUNDUP(((C132-F132) + ((C132-F132)*D132*36))/36, 0)</f>
        <v>2244</v>
      </c>
      <c r="N132" s="9">
        <f>ROUNDUP(((C132-F132) + ((C132-F132)*D132*48))/48, 0)</f>
        <v>1896</v>
      </c>
      <c r="O132" s="28"/>
    </row>
    <row r="133" spans="1:15" x14ac:dyDescent="0.2">
      <c r="A133" s="29"/>
      <c r="B133" s="29"/>
      <c r="C133" s="29"/>
      <c r="D133" s="29"/>
      <c r="E133" s="7"/>
      <c r="F133" s="4">
        <v>4900</v>
      </c>
      <c r="G133" s="29"/>
      <c r="H133" s="9">
        <f>F133+G132</f>
        <v>6900</v>
      </c>
      <c r="I133" s="9">
        <f>ROUNDUP(((C132-F133) + ((C132-F133)*D132*12))/12, 0)</f>
        <v>4927</v>
      </c>
      <c r="J133" s="9"/>
      <c r="K133" s="9">
        <f>ROUNDUP(((C132-F133) + ((C132-F133)*D132*24))/24, 0)</f>
        <v>2881</v>
      </c>
      <c r="L133" s="9"/>
      <c r="M133" s="9">
        <f>ROUNDUP(((C132-F133) + ((C132-F133)*D132*36))/36, 0)</f>
        <v>2199</v>
      </c>
      <c r="N133" s="9">
        <f>ROUNDUP(((C132-F133) + ((C132-F133)*D132*48))/48, 0)</f>
        <v>1858</v>
      </c>
      <c r="O133" s="29"/>
    </row>
    <row r="134" spans="1:15" x14ac:dyDescent="0.2">
      <c r="A134" s="29"/>
      <c r="B134" s="29"/>
      <c r="C134" s="29"/>
      <c r="D134" s="29"/>
      <c r="E134" s="7"/>
      <c r="F134" s="4">
        <v>5900</v>
      </c>
      <c r="G134" s="29"/>
      <c r="H134" s="9">
        <f>F134+G132</f>
        <v>7900</v>
      </c>
      <c r="I134" s="9">
        <f>ROUNDUP(((C132-F134) + ((C132-F134)*D132*12))/12, 0)</f>
        <v>4827</v>
      </c>
      <c r="J134" s="9"/>
      <c r="K134" s="9">
        <f>ROUNDUP(((C132-F134) + ((C132-F134)*D132*24))/24, 0)</f>
        <v>2822</v>
      </c>
      <c r="L134" s="9"/>
      <c r="M134" s="9">
        <f>ROUNDUP(((C132-F134) + ((C132-F134)*D132*36))/36, 0)</f>
        <v>2154</v>
      </c>
      <c r="N134" s="9">
        <f>ROUNDUP(((C132-F134) + ((C132-F134)*D132*48))/48, 0)</f>
        <v>1820</v>
      </c>
      <c r="O134" s="29"/>
    </row>
    <row r="135" spans="1:15" x14ac:dyDescent="0.2">
      <c r="A135" s="30"/>
      <c r="B135" s="30"/>
      <c r="C135" s="30"/>
      <c r="D135" s="30"/>
      <c r="E135" s="10"/>
      <c r="F135" s="4">
        <v>6900</v>
      </c>
      <c r="G135" s="30"/>
      <c r="H135" s="9">
        <f>F135+G132</f>
        <v>8900</v>
      </c>
      <c r="I135" s="9">
        <f>ROUNDUP(((C132-F135) + ((C132-F135)*D132*12))/12, 0)</f>
        <v>4726</v>
      </c>
      <c r="J135" s="9"/>
      <c r="K135" s="9">
        <f>ROUNDUP(((C132-F135) + ((C132-F135)*D132*24))/24, 0)</f>
        <v>2764</v>
      </c>
      <c r="L135" s="9"/>
      <c r="M135" s="9">
        <f>ROUNDUP(((C132-F135) + ((C132-F135)*D132*36))/36, 0)</f>
        <v>2110</v>
      </c>
      <c r="N135" s="9">
        <f>ROUNDUP(((C132-F135) + ((C132-F135)*D132*48))/48, 0)</f>
        <v>1782</v>
      </c>
      <c r="O135" s="30"/>
    </row>
    <row r="136" spans="1:15" x14ac:dyDescent="0.2">
      <c r="A136" s="28" t="s">
        <v>115</v>
      </c>
      <c r="B136" s="28" t="s">
        <v>80</v>
      </c>
      <c r="C136" s="31">
        <v>85500</v>
      </c>
      <c r="D136" s="32">
        <v>1.7000000000000001E-2</v>
      </c>
      <c r="E136" s="2"/>
      <c r="F136" s="4">
        <v>6900</v>
      </c>
      <c r="G136" s="31">
        <v>2000</v>
      </c>
      <c r="H136" s="11">
        <f>F136+G136</f>
        <v>8900</v>
      </c>
      <c r="I136" s="11">
        <f>ROUNDUP(((C136-F136) + ((C136-F136)*D136*12))/12, 0)</f>
        <v>7887</v>
      </c>
      <c r="J136" s="11"/>
      <c r="K136" s="11">
        <f>ROUNDUP(((C136-F136) + ((C136-F136)*D136*24))/24, 0)</f>
        <v>4612</v>
      </c>
      <c r="L136" s="11"/>
      <c r="M136" s="11">
        <f>ROUNDUP(((C136-F136) + ((C136-F136)*D136*36))/36, 0)</f>
        <v>3520</v>
      </c>
      <c r="N136" s="11">
        <f>ROUNDUP(((C136-F136) + ((C136-F136)*D136*48))/48, 0)</f>
        <v>2974</v>
      </c>
      <c r="O136" s="28"/>
    </row>
    <row r="137" spans="1:15" x14ac:dyDescent="0.2">
      <c r="A137" s="29"/>
      <c r="B137" s="29"/>
      <c r="C137" s="29"/>
      <c r="D137" s="29"/>
      <c r="E137" s="7"/>
      <c r="F137" s="4">
        <v>7900</v>
      </c>
      <c r="G137" s="29"/>
      <c r="H137" s="11">
        <f>F137+G136</f>
        <v>9900</v>
      </c>
      <c r="I137" s="11">
        <f>ROUNDUP(((C136-F137) + ((C136-F137)*D136*12))/12, 0)</f>
        <v>7786</v>
      </c>
      <c r="J137" s="11"/>
      <c r="K137" s="11">
        <f>ROUNDUP(((C136-F137) + ((C136-F137)*D136*24))/24, 0)</f>
        <v>4553</v>
      </c>
      <c r="L137" s="11"/>
      <c r="M137" s="11">
        <f>ROUNDUP(((C136-F137) + ((C136-F137)*D136*36))/36, 0)</f>
        <v>3475</v>
      </c>
      <c r="N137" s="11">
        <f>ROUNDUP(((C136-F137) + ((C136-F137)*D136*48))/48, 0)</f>
        <v>2936</v>
      </c>
      <c r="O137" s="29"/>
    </row>
    <row r="138" spans="1:15" x14ac:dyDescent="0.2">
      <c r="A138" s="29"/>
      <c r="B138" s="29"/>
      <c r="C138" s="29"/>
      <c r="D138" s="29"/>
      <c r="E138" s="7"/>
      <c r="F138" s="4">
        <v>8900</v>
      </c>
      <c r="G138" s="29"/>
      <c r="H138" s="11">
        <f>F138+G136</f>
        <v>10900</v>
      </c>
      <c r="I138" s="11">
        <f>ROUNDUP(((C136-F138) + ((C136-F138)*D136*12))/12, 0)</f>
        <v>7686</v>
      </c>
      <c r="J138" s="11"/>
      <c r="K138" s="11">
        <f>ROUNDUP(((C136-F138) + ((C136-F138)*D136*24))/24, 0)</f>
        <v>4494</v>
      </c>
      <c r="L138" s="11"/>
      <c r="M138" s="11">
        <f>ROUNDUP(((C136-F138) + ((C136-F138)*D136*36))/36, 0)</f>
        <v>3430</v>
      </c>
      <c r="N138" s="11">
        <f>ROUNDUP(((C136-F138) + ((C136-F138)*D136*48))/48, 0)</f>
        <v>2899</v>
      </c>
      <c r="O138" s="29"/>
    </row>
    <row r="139" spans="1:15" x14ac:dyDescent="0.2">
      <c r="A139" s="30"/>
      <c r="B139" s="30"/>
      <c r="C139" s="30"/>
      <c r="D139" s="30"/>
      <c r="E139" s="10"/>
      <c r="F139" s="4">
        <v>10900</v>
      </c>
      <c r="G139" s="30"/>
      <c r="H139" s="11">
        <f>F139+G136</f>
        <v>12900</v>
      </c>
      <c r="I139" s="11">
        <f>ROUNDUP(((C136-F139) + ((C136-F139)*D136*12))/12, 0)</f>
        <v>7485</v>
      </c>
      <c r="J139" s="11"/>
      <c r="K139" s="11">
        <f>ROUNDUP(((C136-F139) + ((C136-F139)*D136*24))/24, 0)</f>
        <v>4377</v>
      </c>
      <c r="L139" s="11"/>
      <c r="M139" s="11">
        <f>ROUNDUP(((C136-F139) + ((C136-F139)*D136*36))/36, 0)</f>
        <v>3341</v>
      </c>
      <c r="N139" s="11">
        <f>ROUNDUP(((C136-F139) + ((C136-F139)*D136*48))/48, 0)</f>
        <v>2823</v>
      </c>
      <c r="O139" s="30"/>
    </row>
    <row r="140" spans="1:15" x14ac:dyDescent="0.2">
      <c r="A140" s="28" t="s">
        <v>116</v>
      </c>
      <c r="B140" s="28" t="s">
        <v>81</v>
      </c>
      <c r="C140" s="31">
        <v>55500</v>
      </c>
      <c r="D140" s="32">
        <v>1.7000000000000001E-2</v>
      </c>
      <c r="E140" s="2"/>
      <c r="F140" s="4">
        <v>3900</v>
      </c>
      <c r="G140" s="31">
        <v>2000</v>
      </c>
      <c r="H140" s="9">
        <f>F140+G140</f>
        <v>5900</v>
      </c>
      <c r="I140" s="9">
        <f>ROUNDUP(((C140-F140) + ((C140-F140)*D140*12))/12, 0)</f>
        <v>5178</v>
      </c>
      <c r="J140" s="9"/>
      <c r="K140" s="9">
        <f>ROUNDUP(((C140-F140) + ((C140-F140)*D140*24))/24, 0)</f>
        <v>3028</v>
      </c>
      <c r="L140" s="9"/>
      <c r="M140" s="9">
        <f>ROUNDUP(((C140-F140) + ((C140-F140)*D140*36))/36, 0)</f>
        <v>2311</v>
      </c>
      <c r="N140" s="9">
        <f>ROUNDUP(((C140-F140) + ((C140-F140)*D140*48))/48, 0)</f>
        <v>1953</v>
      </c>
      <c r="O140" s="28"/>
    </row>
    <row r="141" spans="1:15" x14ac:dyDescent="0.2">
      <c r="A141" s="29"/>
      <c r="B141" s="29"/>
      <c r="C141" s="29"/>
      <c r="D141" s="29"/>
      <c r="E141" s="7"/>
      <c r="F141" s="4">
        <v>4900</v>
      </c>
      <c r="G141" s="29"/>
      <c r="H141" s="9">
        <f>F141+G140</f>
        <v>6900</v>
      </c>
      <c r="I141" s="9">
        <f>ROUNDUP(((C140-F141) + ((C140-F141)*D140*12))/12, 0)</f>
        <v>5077</v>
      </c>
      <c r="J141" s="9"/>
      <c r="K141" s="9">
        <f>ROUNDUP(((C140-F141) + ((C140-F141)*D140*24))/24, 0)</f>
        <v>2969</v>
      </c>
      <c r="L141" s="9"/>
      <c r="M141" s="9">
        <f>ROUNDUP(((C140-F141) + ((C140-F141)*D140*36))/36, 0)</f>
        <v>2266</v>
      </c>
      <c r="N141" s="9">
        <f>ROUNDUP(((C140-F141) + ((C140-F141)*D140*48))/48, 0)</f>
        <v>1915</v>
      </c>
      <c r="O141" s="29"/>
    </row>
    <row r="142" spans="1:15" x14ac:dyDescent="0.2">
      <c r="A142" s="29"/>
      <c r="B142" s="29"/>
      <c r="C142" s="29"/>
      <c r="D142" s="29"/>
      <c r="E142" s="7"/>
      <c r="F142" s="4">
        <v>5900</v>
      </c>
      <c r="G142" s="29"/>
      <c r="H142" s="9">
        <f>F142+G140</f>
        <v>7900</v>
      </c>
      <c r="I142" s="9">
        <f>ROUNDUP(((C140-F142) + ((C140-F142)*D140*12))/12, 0)</f>
        <v>4977</v>
      </c>
      <c r="J142" s="9"/>
      <c r="K142" s="9">
        <f>ROUNDUP(((C140-F142) + ((C140-F142)*D140*24))/24, 0)</f>
        <v>2910</v>
      </c>
      <c r="L142" s="9"/>
      <c r="M142" s="9">
        <f>ROUNDUP(((C140-F142) + ((C140-F142)*D140*36))/36, 0)</f>
        <v>2221</v>
      </c>
      <c r="N142" s="9">
        <f>ROUNDUP(((C140-F142) + ((C140-F142)*D140*48))/48, 0)</f>
        <v>1877</v>
      </c>
      <c r="O142" s="29"/>
    </row>
    <row r="143" spans="1:15" x14ac:dyDescent="0.2">
      <c r="A143" s="30"/>
      <c r="B143" s="30"/>
      <c r="C143" s="30"/>
      <c r="D143" s="30"/>
      <c r="E143" s="10"/>
      <c r="F143" s="4">
        <v>7900</v>
      </c>
      <c r="G143" s="30"/>
      <c r="H143" s="9">
        <f>F143+G140</f>
        <v>9900</v>
      </c>
      <c r="I143" s="9">
        <f>ROUNDUP(((C140-F143) + ((C140-F143)*D140*12))/12, 0)</f>
        <v>4776</v>
      </c>
      <c r="J143" s="9"/>
      <c r="K143" s="9">
        <f>ROUNDUP(((C140-F143) + ((C140-F143)*D140*24))/24, 0)</f>
        <v>2793</v>
      </c>
      <c r="L143" s="9"/>
      <c r="M143" s="9">
        <f>ROUNDUP(((C140-F143) + ((C140-F143)*D140*36))/36, 0)</f>
        <v>2132</v>
      </c>
      <c r="N143" s="9">
        <f>ROUNDUP(((C140-F143) + ((C140-F143)*D140*48))/48, 0)</f>
        <v>1801</v>
      </c>
      <c r="O143" s="30"/>
    </row>
  </sheetData>
  <mergeCells count="204">
    <mergeCell ref="G2:G3"/>
    <mergeCell ref="H2:H3"/>
    <mergeCell ref="I2:N2"/>
    <mergeCell ref="A4:A7"/>
    <mergeCell ref="B4:B7"/>
    <mergeCell ref="C4:C7"/>
    <mergeCell ref="D4:D7"/>
    <mergeCell ref="G4:G7"/>
    <mergeCell ref="A2:A3"/>
    <mergeCell ref="B2:B3"/>
    <mergeCell ref="C2:C3"/>
    <mergeCell ref="D2:D3"/>
    <mergeCell ref="E2:E3"/>
    <mergeCell ref="F2:F3"/>
    <mergeCell ref="A8:A11"/>
    <mergeCell ref="B8:B11"/>
    <mergeCell ref="C8:C11"/>
    <mergeCell ref="D8:D11"/>
    <mergeCell ref="G8:G11"/>
    <mergeCell ref="A12:A15"/>
    <mergeCell ref="B12:B15"/>
    <mergeCell ref="C12:C15"/>
    <mergeCell ref="D12:D15"/>
    <mergeCell ref="G12:G15"/>
    <mergeCell ref="A16:A19"/>
    <mergeCell ref="B16:B19"/>
    <mergeCell ref="C16:C19"/>
    <mergeCell ref="D16:D19"/>
    <mergeCell ref="G16:G19"/>
    <mergeCell ref="A20:A23"/>
    <mergeCell ref="B20:B23"/>
    <mergeCell ref="C20:C23"/>
    <mergeCell ref="D20:D23"/>
    <mergeCell ref="G20:G23"/>
    <mergeCell ref="A24:A27"/>
    <mergeCell ref="B24:B27"/>
    <mergeCell ref="C24:C27"/>
    <mergeCell ref="D24:D27"/>
    <mergeCell ref="G24:G27"/>
    <mergeCell ref="A28:A31"/>
    <mergeCell ref="B28:B31"/>
    <mergeCell ref="C28:C31"/>
    <mergeCell ref="D28:D31"/>
    <mergeCell ref="G28:G31"/>
    <mergeCell ref="A32:A35"/>
    <mergeCell ref="B32:B35"/>
    <mergeCell ref="C32:C35"/>
    <mergeCell ref="D32:D35"/>
    <mergeCell ref="G32:G35"/>
    <mergeCell ref="A36:A39"/>
    <mergeCell ref="B36:B39"/>
    <mergeCell ref="C36:C39"/>
    <mergeCell ref="D36:D39"/>
    <mergeCell ref="G36:G39"/>
    <mergeCell ref="A40:A43"/>
    <mergeCell ref="B40:B43"/>
    <mergeCell ref="C40:C43"/>
    <mergeCell ref="D40:D43"/>
    <mergeCell ref="G40:G43"/>
    <mergeCell ref="A44:A47"/>
    <mergeCell ref="B44:B47"/>
    <mergeCell ref="C44:C47"/>
    <mergeCell ref="D44:D47"/>
    <mergeCell ref="G44:G47"/>
    <mergeCell ref="A48:A51"/>
    <mergeCell ref="B48:B51"/>
    <mergeCell ref="C48:C51"/>
    <mergeCell ref="D48:D51"/>
    <mergeCell ref="G48:G51"/>
    <mergeCell ref="A52:A55"/>
    <mergeCell ref="B52:B55"/>
    <mergeCell ref="C52:C55"/>
    <mergeCell ref="D52:D55"/>
    <mergeCell ref="G52:G55"/>
    <mergeCell ref="A56:A59"/>
    <mergeCell ref="B56:B59"/>
    <mergeCell ref="C56:C59"/>
    <mergeCell ref="D56:D59"/>
    <mergeCell ref="G56:G59"/>
    <mergeCell ref="A60:A63"/>
    <mergeCell ref="B60:B63"/>
    <mergeCell ref="C60:C63"/>
    <mergeCell ref="D60:D63"/>
    <mergeCell ref="G60:G63"/>
    <mergeCell ref="A64:A67"/>
    <mergeCell ref="B64:B67"/>
    <mergeCell ref="C64:C67"/>
    <mergeCell ref="D64:D67"/>
    <mergeCell ref="G64:G67"/>
    <mergeCell ref="A68:A71"/>
    <mergeCell ref="B68:B71"/>
    <mergeCell ref="C68:C71"/>
    <mergeCell ref="D68:D71"/>
    <mergeCell ref="G68:G71"/>
    <mergeCell ref="A72:A75"/>
    <mergeCell ref="B72:B75"/>
    <mergeCell ref="C72:C75"/>
    <mergeCell ref="D72:D75"/>
    <mergeCell ref="G72:G75"/>
    <mergeCell ref="A76:A79"/>
    <mergeCell ref="B76:B79"/>
    <mergeCell ref="C76:C79"/>
    <mergeCell ref="D76:D79"/>
    <mergeCell ref="G76:G79"/>
    <mergeCell ref="D88:D91"/>
    <mergeCell ref="G88:G91"/>
    <mergeCell ref="A81:N81"/>
    <mergeCell ref="A82:A83"/>
    <mergeCell ref="B82:B83"/>
    <mergeCell ref="C82:C83"/>
    <mergeCell ref="D82:D83"/>
    <mergeCell ref="E82:E83"/>
    <mergeCell ref="F82:F83"/>
    <mergeCell ref="G82:G83"/>
    <mergeCell ref="H82:H83"/>
    <mergeCell ref="I82:N82"/>
    <mergeCell ref="A100:A103"/>
    <mergeCell ref="B100:B103"/>
    <mergeCell ref="C100:C103"/>
    <mergeCell ref="D100:D103"/>
    <mergeCell ref="G100:G103"/>
    <mergeCell ref="A1:N1"/>
    <mergeCell ref="A92:A95"/>
    <mergeCell ref="B92:B95"/>
    <mergeCell ref="C92:C95"/>
    <mergeCell ref="D92:D95"/>
    <mergeCell ref="G92:G95"/>
    <mergeCell ref="A96:A99"/>
    <mergeCell ref="B96:B99"/>
    <mergeCell ref="C96:C99"/>
    <mergeCell ref="D96:D99"/>
    <mergeCell ref="G96:G99"/>
    <mergeCell ref="A84:A87"/>
    <mergeCell ref="B84:B87"/>
    <mergeCell ref="C84:C87"/>
    <mergeCell ref="D84:D87"/>
    <mergeCell ref="G84:G87"/>
    <mergeCell ref="A88:A91"/>
    <mergeCell ref="B88:B91"/>
    <mergeCell ref="C88:C91"/>
    <mergeCell ref="A105:N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N106"/>
    <mergeCell ref="A108:A111"/>
    <mergeCell ref="B108:B111"/>
    <mergeCell ref="C108:C111"/>
    <mergeCell ref="D108:D111"/>
    <mergeCell ref="G108:G111"/>
    <mergeCell ref="A112:A115"/>
    <mergeCell ref="B112:B115"/>
    <mergeCell ref="C112:C115"/>
    <mergeCell ref="D112:D115"/>
    <mergeCell ref="G112:G115"/>
    <mergeCell ref="A116:A119"/>
    <mergeCell ref="B116:B119"/>
    <mergeCell ref="C116:C119"/>
    <mergeCell ref="D116:D119"/>
    <mergeCell ref="G116:G119"/>
    <mergeCell ref="A120:A123"/>
    <mergeCell ref="B120:B123"/>
    <mergeCell ref="C120:C123"/>
    <mergeCell ref="D120:D123"/>
    <mergeCell ref="G120:G123"/>
    <mergeCell ref="A125:L125"/>
    <mergeCell ref="A126:A127"/>
    <mergeCell ref="B126:B127"/>
    <mergeCell ref="C126:C127"/>
    <mergeCell ref="D126:D127"/>
    <mergeCell ref="F126:F127"/>
    <mergeCell ref="G126:G127"/>
    <mergeCell ref="H126:H127"/>
    <mergeCell ref="I126:L126"/>
    <mergeCell ref="E126:E127"/>
    <mergeCell ref="A132:A135"/>
    <mergeCell ref="B132:B135"/>
    <mergeCell ref="C132:C135"/>
    <mergeCell ref="D132:D135"/>
    <mergeCell ref="G132:G135"/>
    <mergeCell ref="O132:O135"/>
    <mergeCell ref="A128:A131"/>
    <mergeCell ref="B128:B131"/>
    <mergeCell ref="C128:C131"/>
    <mergeCell ref="D128:D131"/>
    <mergeCell ref="G128:G131"/>
    <mergeCell ref="O128:O131"/>
    <mergeCell ref="A140:A143"/>
    <mergeCell ref="B140:B143"/>
    <mergeCell ref="C140:C143"/>
    <mergeCell ref="D140:D143"/>
    <mergeCell ref="G140:G143"/>
    <mergeCell ref="O140:O143"/>
    <mergeCell ref="A136:A139"/>
    <mergeCell ref="B136:B139"/>
    <mergeCell ref="C136:C139"/>
    <mergeCell ref="D136:D139"/>
    <mergeCell ref="G136:G139"/>
    <mergeCell ref="O136:O139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F70C-1DC7-460F-BA40-707C39E728F5}">
  <dimension ref="B1:L22"/>
  <sheetViews>
    <sheetView workbookViewId="0">
      <selection activeCell="B9" sqref="B9"/>
    </sheetView>
  </sheetViews>
  <sheetFormatPr defaultRowHeight="14.25" x14ac:dyDescent="0.2"/>
  <cols>
    <col min="2" max="2" width="55.5" bestFit="1" customWidth="1"/>
  </cols>
  <sheetData>
    <row r="1" spans="2:12" s="12" customFormat="1" ht="24" x14ac:dyDescent="0.2"/>
    <row r="2" spans="2:12" s="12" customFormat="1" ht="24" x14ac:dyDescent="0.2">
      <c r="B2" s="57" t="s">
        <v>82</v>
      </c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2:12" s="12" customFormat="1" ht="24" x14ac:dyDescent="0.2">
      <c r="B3" s="58" t="s">
        <v>83</v>
      </c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2:12" s="12" customFormat="1" ht="24" x14ac:dyDescent="0.2"/>
    <row r="5" spans="2:12" s="12" customFormat="1" ht="24" x14ac:dyDescent="0.2">
      <c r="B5" s="59" t="s">
        <v>84</v>
      </c>
      <c r="C5" s="59"/>
      <c r="D5" s="59"/>
      <c r="E5" s="59"/>
      <c r="G5" s="13" t="s">
        <v>85</v>
      </c>
      <c r="H5" s="13"/>
      <c r="I5" s="13"/>
      <c r="J5" s="13"/>
    </row>
    <row r="6" spans="2:12" s="12" customFormat="1" ht="24" x14ac:dyDescent="0.2">
      <c r="B6" s="14" t="s">
        <v>86</v>
      </c>
      <c r="C6" s="60" t="s">
        <v>87</v>
      </c>
      <c r="D6" s="61"/>
      <c r="E6" s="62"/>
      <c r="G6" s="15" t="s">
        <v>88</v>
      </c>
      <c r="H6" s="16"/>
      <c r="I6" s="16"/>
      <c r="J6" s="17"/>
    </row>
    <row r="7" spans="2:12" s="12" customFormat="1" ht="24" x14ac:dyDescent="0.2">
      <c r="B7" s="18" t="s">
        <v>89</v>
      </c>
      <c r="C7" s="45">
        <v>85500</v>
      </c>
      <c r="D7" s="46"/>
      <c r="E7" s="47"/>
      <c r="G7" s="15" t="s">
        <v>90</v>
      </c>
      <c r="H7" s="16"/>
      <c r="I7" s="16"/>
      <c r="J7" s="17"/>
    </row>
    <row r="8" spans="2:12" s="12" customFormat="1" ht="24" x14ac:dyDescent="0.2">
      <c r="B8" s="18" t="s">
        <v>91</v>
      </c>
      <c r="C8" s="45">
        <v>0</v>
      </c>
      <c r="D8" s="46"/>
      <c r="E8" s="47"/>
      <c r="G8" s="19" t="s">
        <v>92</v>
      </c>
      <c r="H8" s="20"/>
      <c r="I8" s="20"/>
      <c r="J8" s="21"/>
    </row>
    <row r="9" spans="2:12" s="12" customFormat="1" ht="24" x14ac:dyDescent="0.2">
      <c r="B9" s="22" t="s">
        <v>93</v>
      </c>
      <c r="C9" s="39">
        <f>C7+C8</f>
        <v>85500</v>
      </c>
      <c r="D9" s="40"/>
      <c r="E9" s="41"/>
      <c r="G9" s="15" t="s">
        <v>94</v>
      </c>
      <c r="H9" s="16"/>
      <c r="I9" s="16"/>
      <c r="J9" s="17"/>
    </row>
    <row r="10" spans="2:12" s="12" customFormat="1" ht="24" x14ac:dyDescent="0.2">
      <c r="B10" s="18" t="s">
        <v>95</v>
      </c>
      <c r="C10" s="45">
        <v>8900</v>
      </c>
      <c r="D10" s="46"/>
      <c r="E10" s="47"/>
      <c r="G10" s="15" t="s">
        <v>96</v>
      </c>
      <c r="H10" s="16"/>
      <c r="I10" s="16"/>
      <c r="J10" s="17"/>
    </row>
    <row r="11" spans="2:12" s="12" customFormat="1" ht="24" x14ac:dyDescent="0.2">
      <c r="B11" s="22" t="s">
        <v>97</v>
      </c>
      <c r="C11" s="39">
        <f>C9-C10</f>
        <v>76600</v>
      </c>
      <c r="D11" s="40"/>
      <c r="E11" s="41"/>
      <c r="G11" s="19" t="s">
        <v>98</v>
      </c>
      <c r="H11" s="20"/>
      <c r="I11" s="20"/>
      <c r="J11" s="21"/>
    </row>
    <row r="12" spans="2:12" s="12" customFormat="1" ht="24" x14ac:dyDescent="0.2">
      <c r="B12" s="18" t="s">
        <v>99</v>
      </c>
      <c r="C12" s="48">
        <v>1.7000000000000001E-2</v>
      </c>
      <c r="D12" s="49"/>
      <c r="E12" s="50"/>
      <c r="G12" s="15" t="s">
        <v>100</v>
      </c>
      <c r="H12" s="16"/>
      <c r="I12" s="16"/>
      <c r="J12" s="17"/>
    </row>
    <row r="13" spans="2:12" s="12" customFormat="1" ht="24" x14ac:dyDescent="0.2">
      <c r="B13" s="18" t="s">
        <v>101</v>
      </c>
      <c r="C13" s="51">
        <v>48</v>
      </c>
      <c r="D13" s="52"/>
      <c r="E13" s="53"/>
      <c r="G13" s="19" t="s">
        <v>102</v>
      </c>
      <c r="H13" s="20"/>
      <c r="I13" s="20"/>
      <c r="J13" s="21"/>
    </row>
    <row r="14" spans="2:12" s="12" customFormat="1" ht="24" x14ac:dyDescent="0.2">
      <c r="B14" s="14" t="s">
        <v>103</v>
      </c>
      <c r="C14" s="54">
        <f>C11*C12*C13</f>
        <v>62505.600000000006</v>
      </c>
      <c r="D14" s="55"/>
      <c r="E14" s="56"/>
      <c r="G14" s="19" t="s">
        <v>104</v>
      </c>
      <c r="H14" s="20"/>
      <c r="I14" s="20"/>
      <c r="J14" s="21"/>
    </row>
    <row r="15" spans="2:12" s="12" customFormat="1" ht="24" x14ac:dyDescent="0.2">
      <c r="B15" s="22" t="s">
        <v>105</v>
      </c>
      <c r="C15" s="39">
        <f>C11+C14</f>
        <v>139105.60000000001</v>
      </c>
      <c r="D15" s="40"/>
      <c r="E15" s="41"/>
      <c r="G15" s="19" t="s">
        <v>106</v>
      </c>
      <c r="H15" s="20"/>
      <c r="I15" s="20"/>
      <c r="J15" s="21"/>
    </row>
    <row r="16" spans="2:12" s="12" customFormat="1" ht="24" x14ac:dyDescent="0.2">
      <c r="B16" s="23" t="s">
        <v>107</v>
      </c>
      <c r="C16" s="42">
        <f>ROUND(C15/C13, 0)</f>
        <v>2898</v>
      </c>
      <c r="D16" s="43"/>
      <c r="E16" s="44"/>
      <c r="G16" s="19" t="s">
        <v>108</v>
      </c>
      <c r="H16" s="20"/>
      <c r="I16" s="20"/>
      <c r="J16" s="21"/>
    </row>
    <row r="17" spans="2:10" s="12" customFormat="1" ht="24" x14ac:dyDescent="0.2">
      <c r="B17" s="24" t="s">
        <v>109</v>
      </c>
      <c r="C17" s="25"/>
      <c r="D17" s="24"/>
      <c r="E17" s="24">
        <v>2500</v>
      </c>
      <c r="G17" s="26"/>
      <c r="H17" s="27"/>
      <c r="I17" s="27"/>
      <c r="J17" s="27"/>
    </row>
    <row r="18" spans="2:10" s="12" customFormat="1" ht="24" x14ac:dyDescent="0.2">
      <c r="B18" s="24" t="s">
        <v>95</v>
      </c>
      <c r="C18" s="25"/>
      <c r="D18" s="24"/>
      <c r="E18" s="25">
        <f>C10</f>
        <v>8900</v>
      </c>
      <c r="G18" s="26"/>
      <c r="H18" s="27"/>
      <c r="I18" s="27"/>
      <c r="J18" s="27"/>
    </row>
    <row r="19" spans="2:10" s="12" customFormat="1" ht="24" x14ac:dyDescent="0.2">
      <c r="B19" s="24"/>
      <c r="C19" s="25"/>
      <c r="D19" s="24"/>
      <c r="E19" s="24"/>
      <c r="G19" s="26"/>
      <c r="H19" s="27"/>
      <c r="I19" s="27"/>
      <c r="J19" s="27"/>
    </row>
    <row r="20" spans="2:10" s="12" customFormat="1" ht="24" x14ac:dyDescent="0.2">
      <c r="B20" s="24" t="s">
        <v>110</v>
      </c>
      <c r="C20" s="25"/>
      <c r="D20" s="24"/>
      <c r="E20" s="25">
        <f>E18+E17</f>
        <v>11400</v>
      </c>
      <c r="G20" s="26"/>
      <c r="H20" s="27"/>
      <c r="I20" s="27"/>
      <c r="J20" s="27"/>
    </row>
    <row r="21" spans="2:10" s="12" customFormat="1" ht="24" x14ac:dyDescent="0.2"/>
    <row r="22" spans="2:10" s="12" customFormat="1" ht="24" x14ac:dyDescent="0.2"/>
  </sheetData>
  <mergeCells count="14">
    <mergeCell ref="C8:E8"/>
    <mergeCell ref="B2:L2"/>
    <mergeCell ref="B3:L3"/>
    <mergeCell ref="B5:E5"/>
    <mergeCell ref="C6:E6"/>
    <mergeCell ref="C7:E7"/>
    <mergeCell ref="C15:E15"/>
    <mergeCell ref="C16:E16"/>
    <mergeCell ref="C9:E9"/>
    <mergeCell ref="C10:E10"/>
    <mergeCell ref="C11:E11"/>
    <mergeCell ref="C12:E12"/>
    <mergeCell ref="C13:E13"/>
    <mergeCell ref="C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ราคารถทั้งหมด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2026-08-29T01:52:02Z</dcterms:created>
  <dcterms:modified xsi:type="dcterms:W3CDTF">2026-08-29T03:04:38Z</dcterms:modified>
</cp:coreProperties>
</file>